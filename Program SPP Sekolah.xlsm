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490b24194533450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0" windowWidth="19440" windowHeight="7995" firstSheet="3" activeTab="3"/>
  </bookViews>
  <sheets>
    <sheet name="Kelas" sheetId="1" state="veryHidden" r:id="rId1"/>
    <sheet name="Tabel" sheetId="2" state="veryHidden" r:id="rId2"/>
    <sheet name="Siswa" sheetId="3" state="veryHidden" r:id="rId3"/>
    <sheet name=" " sheetId="4" r:id="rId4"/>
    <sheet name="PerSiswa" sheetId="5" state="veryHidden" r:id="rId5"/>
    <sheet name="PerKelas" sheetId="6" state="veryHidden" r:id="rId6"/>
    <sheet name="LapAll" sheetId="7" state="veryHidden" r:id="rId7"/>
    <sheet name="Sheet1" sheetId="8" state="veryHidden" r:id="rId8"/>
  </sheets>
  <definedNames>
    <definedName name="DaftarKelas">OFFSET(Kelas!$A$1,0,0,COUNTA(Kelas!$A$1:$A$40),1)</definedName>
    <definedName name="Namama">OFFSET(PerSiswa!$A$15,0,0,COUNTA(PerSiswa!$A$15:$A$80),1)</definedName>
    <definedName name="_xlnm.Print_Area" localSheetId="6">OFFSET(LapAll!$B$2,0,0,COUNTA(LapAll!$B$4:$B$40)+2,15)</definedName>
    <definedName name="_xlnm.Print_Area" localSheetId="4">PerSiswa!$B$2:$J$23</definedName>
    <definedName name="_xlnm.Print_Area" localSheetId="7">Sheet1!$B$2:$J$23</definedName>
  </definedNames>
  <calcPr calcId="145621" calcMode="manual"/>
</workbook>
</file>

<file path=xl/calcChain.xml><?xml version="1.0" encoding="utf-8"?>
<calcChain xmlns="http://schemas.openxmlformats.org/spreadsheetml/2006/main">
  <c r="G16" i="5" l="1"/>
  <c r="E7" i="3"/>
  <c r="E5" i="3"/>
  <c r="E6" i="3"/>
  <c r="E8" i="3"/>
  <c r="E6" i="5" l="1"/>
  <c r="E5" i="5"/>
  <c r="A4" i="5"/>
  <c r="B2" i="7" l="1"/>
  <c r="G16" i="8"/>
  <c r="H14" i="8"/>
  <c r="C14" i="8"/>
  <c r="H13" i="8"/>
  <c r="C13" i="8"/>
  <c r="H12" i="8"/>
  <c r="C12" i="8"/>
  <c r="H11" i="8"/>
  <c r="C11" i="8"/>
  <c r="H10" i="8"/>
  <c r="C10" i="8"/>
  <c r="H9" i="8"/>
  <c r="C9" i="8"/>
  <c r="H10" i="5"/>
  <c r="H11" i="5"/>
  <c r="H12" i="5"/>
  <c r="H13" i="5"/>
  <c r="H14" i="5"/>
  <c r="H9" i="5"/>
  <c r="C9" i="5"/>
  <c r="C10" i="5"/>
  <c r="C11" i="5"/>
  <c r="C12" i="5"/>
  <c r="C13" i="5"/>
  <c r="C14" i="5"/>
  <c r="D2" i="3"/>
  <c r="G2" i="1"/>
  <c r="A1" i="5"/>
  <c r="A2" i="3"/>
  <c r="A7" i="5"/>
  <c r="I20" i="3" l="1"/>
  <c r="K9" i="5"/>
  <c r="F13" i="5"/>
  <c r="F10" i="5"/>
  <c r="F14" i="5"/>
  <c r="K10" i="5"/>
  <c r="F12" i="5"/>
  <c r="K11" i="5"/>
  <c r="K14" i="5"/>
  <c r="F11" i="5"/>
  <c r="F9" i="5"/>
  <c r="K12" i="5"/>
  <c r="K13" i="5"/>
</calcChain>
</file>

<file path=xl/sharedStrings.xml><?xml version="1.0" encoding="utf-8"?>
<sst xmlns="http://schemas.openxmlformats.org/spreadsheetml/2006/main" count="174" uniqueCount="92">
  <si>
    <t>X-1</t>
  </si>
  <si>
    <t>X-3</t>
  </si>
  <si>
    <t>X-4</t>
  </si>
  <si>
    <t>No</t>
  </si>
  <si>
    <t>NoInduk</t>
  </si>
  <si>
    <t>Kelas</t>
  </si>
  <si>
    <t>Tahun Pelajaran</t>
  </si>
  <si>
    <t>2011/2012</t>
  </si>
  <si>
    <t>Nama Sekolah</t>
  </si>
  <si>
    <t>MA Mambaul Ulum 2 Pamekasan</t>
  </si>
  <si>
    <t>X-5</t>
  </si>
  <si>
    <t>XI IPA-1</t>
  </si>
  <si>
    <t>XI-IPA-2</t>
  </si>
  <si>
    <t>XI-IPA-3</t>
  </si>
  <si>
    <t>XI-IPA-4</t>
  </si>
  <si>
    <t>XI-IPS-1</t>
  </si>
  <si>
    <t>XI-IPS-2</t>
  </si>
  <si>
    <t>XII-IPA-1</t>
  </si>
  <si>
    <t>XII-IPA-2</t>
  </si>
  <si>
    <t>XII-IPA-3</t>
  </si>
  <si>
    <t>XII-IPA-4</t>
  </si>
  <si>
    <t>XII-IPS-1</t>
  </si>
  <si>
    <t>Pilih Kelas :</t>
  </si>
  <si>
    <t>No Induk</t>
  </si>
  <si>
    <t>Keterangan:</t>
  </si>
  <si>
    <t>dari ComboBox. Nama dan Nomor Induk akan</t>
  </si>
  <si>
    <t>ditampilkan</t>
  </si>
  <si>
    <t>No, Nama dan Nomor Induk di bawah data terakhir.</t>
  </si>
  <si>
    <r>
      <t>Lalu tekan tombol "</t>
    </r>
    <r>
      <rPr>
        <b/>
        <sz val="11"/>
        <color indexed="56"/>
        <rFont val="Calibri"/>
        <family val="2"/>
      </rPr>
      <t>Simpan</t>
    </r>
    <r>
      <rPr>
        <sz val="11"/>
        <color theme="1"/>
        <rFont val="Calibri"/>
        <family val="2"/>
        <scheme val="minor"/>
      </rPr>
      <t>"</t>
    </r>
  </si>
  <si>
    <r>
      <t>data yang ada, lalu tekan "</t>
    </r>
    <r>
      <rPr>
        <b/>
        <sz val="11"/>
        <color indexed="56"/>
        <rFont val="Calibri"/>
        <family val="2"/>
      </rPr>
      <t>Simpan</t>
    </r>
    <r>
      <rPr>
        <sz val="11"/>
        <color theme="1"/>
        <rFont val="Calibri"/>
        <family val="2"/>
        <scheme val="minor"/>
      </rPr>
      <t>"</t>
    </r>
  </si>
  <si>
    <t>DATA SISWA</t>
  </si>
  <si>
    <t>Nama Siswa</t>
  </si>
  <si>
    <r>
      <t xml:space="preserve">Untuk </t>
    </r>
    <r>
      <rPr>
        <b/>
        <sz val="11"/>
        <color indexed="56"/>
        <rFont val="Calibri"/>
        <family val="2"/>
      </rPr>
      <t>melihat</t>
    </r>
    <r>
      <rPr>
        <sz val="11"/>
        <color theme="1"/>
        <rFont val="Calibri"/>
        <family val="2"/>
        <scheme val="minor"/>
      </rPr>
      <t xml:space="preserve"> Data Siswa, silahkan pilih kelas</t>
    </r>
  </si>
  <si>
    <r>
      <t xml:space="preserve">Untuk </t>
    </r>
    <r>
      <rPr>
        <b/>
        <sz val="11"/>
        <color indexed="56"/>
        <rFont val="Calibri"/>
        <family val="2"/>
      </rPr>
      <t>menambah</t>
    </r>
    <r>
      <rPr>
        <sz val="11"/>
        <color theme="1"/>
        <rFont val="Calibri"/>
        <family val="2"/>
        <scheme val="minor"/>
      </rPr>
      <t xml:space="preserve"> Data Siswa, Silahkan menambah</t>
    </r>
  </si>
  <si>
    <r>
      <t xml:space="preserve">Untuk </t>
    </r>
    <r>
      <rPr>
        <b/>
        <sz val="11"/>
        <color indexed="56"/>
        <rFont val="Calibri"/>
        <family val="2"/>
      </rPr>
      <t>meng-edit</t>
    </r>
    <r>
      <rPr>
        <sz val="11"/>
        <color theme="1"/>
        <rFont val="Calibri"/>
        <family val="2"/>
        <scheme val="minor"/>
      </rPr>
      <t xml:space="preserve"> Data Siswa, silahkan diubah dari</t>
    </r>
  </si>
  <si>
    <t>Sari</t>
  </si>
  <si>
    <r>
      <t xml:space="preserve">Untuk </t>
    </r>
    <r>
      <rPr>
        <b/>
        <sz val="11"/>
        <color indexed="56"/>
        <rFont val="Calibri"/>
        <family val="2"/>
      </rPr>
      <t>menghapus</t>
    </r>
    <r>
      <rPr>
        <sz val="11"/>
        <color theme="1"/>
        <rFont val="Calibri"/>
        <family val="2"/>
        <scheme val="minor"/>
      </rPr>
      <t xml:space="preserve"> Data Siswa, Klik Tombol "</t>
    </r>
    <r>
      <rPr>
        <b/>
        <sz val="11"/>
        <color indexed="30"/>
        <rFont val="Calibri"/>
        <family val="2"/>
      </rPr>
      <t>Hapus</t>
    </r>
    <r>
      <rPr>
        <sz val="11"/>
        <color theme="1"/>
        <rFont val="Calibri"/>
        <family val="2"/>
        <scheme val="minor"/>
      </rPr>
      <t>"</t>
    </r>
  </si>
  <si>
    <t>Lalu Klik Nomor dari Data Siswa yang ingin dihapus.</t>
  </si>
  <si>
    <t>Nama</t>
  </si>
  <si>
    <t>Data Pembayaran SPP</t>
  </si>
  <si>
    <t>Juli</t>
  </si>
  <si>
    <t>Agustus</t>
  </si>
  <si>
    <t>September</t>
  </si>
  <si>
    <t>Oktober</t>
  </si>
  <si>
    <t>Nopember</t>
  </si>
  <si>
    <t>Desember</t>
  </si>
  <si>
    <t>Semester Ganjil</t>
  </si>
  <si>
    <t>Semester Genap</t>
  </si>
  <si>
    <t>Januari</t>
  </si>
  <si>
    <t>Pebruari</t>
  </si>
  <si>
    <t>Maret</t>
  </si>
  <si>
    <t>April</t>
  </si>
  <si>
    <t>Mei</t>
  </si>
  <si>
    <t>Juni</t>
  </si>
  <si>
    <t>:</t>
  </si>
  <si>
    <t>Pilih Kelas</t>
  </si>
  <si>
    <t>Agust</t>
  </si>
  <si>
    <t>Sept</t>
  </si>
  <si>
    <t>Nop</t>
  </si>
  <si>
    <t>Des</t>
  </si>
  <si>
    <t>Okt</t>
  </si>
  <si>
    <t>Jan</t>
  </si>
  <si>
    <t>Peb</t>
  </si>
  <si>
    <t>Mar</t>
  </si>
  <si>
    <t>Apr</t>
  </si>
  <si>
    <t>Jun</t>
  </si>
  <si>
    <t>Jumlah</t>
  </si>
  <si>
    <t>Jul</t>
  </si>
  <si>
    <t>Jika kelamaan,</t>
  </si>
  <si>
    <t>Klik kanan nama</t>
  </si>
  <si>
    <t>Sheet, View Code</t>
  </si>
  <si>
    <t>Buanglah tanda</t>
  </si>
  <si>
    <t>Apostrop pada</t>
  </si>
  <si>
    <t>'Application.cal-</t>
  </si>
  <si>
    <t>culation.xlcalcu-</t>
  </si>
  <si>
    <t>lationManual</t>
  </si>
  <si>
    <t>Tanggal</t>
  </si>
  <si>
    <t>Pilih Nama</t>
  </si>
  <si>
    <t>Kuitansi Pembayaran SPP</t>
  </si>
  <si>
    <t>Anda melihat halaman ini karena makro-nya belum di-Enable-kan</t>
  </si>
  <si>
    <t>Untuk itu:</t>
  </si>
  <si>
    <t>Office 2007:</t>
  </si>
  <si>
    <t>Office 2010</t>
  </si>
  <si>
    <r>
      <t xml:space="preserve">di atas Formula bar, ada </t>
    </r>
    <r>
      <rPr>
        <b/>
        <sz val="14"/>
        <color theme="0"/>
        <rFont val="Calibri"/>
        <family val="2"/>
        <scheme val="minor"/>
      </rPr>
      <t>Security Warning</t>
    </r>
    <r>
      <rPr>
        <sz val="14"/>
        <color theme="0"/>
        <rFont val="Calibri"/>
        <family val="2"/>
        <scheme val="minor"/>
      </rPr>
      <t xml:space="preserve">. Klik </t>
    </r>
    <r>
      <rPr>
        <b/>
        <sz val="14"/>
        <color theme="0"/>
        <rFont val="Calibri"/>
        <family val="2"/>
        <scheme val="minor"/>
      </rPr>
      <t>Option,</t>
    </r>
    <r>
      <rPr>
        <sz val="14"/>
        <color theme="0"/>
        <rFont val="Calibri"/>
        <family val="2"/>
        <scheme val="minor"/>
      </rPr>
      <t xml:space="preserve"> lalu pilih </t>
    </r>
    <r>
      <rPr>
        <b/>
        <sz val="14"/>
        <color theme="0"/>
        <rFont val="Calibri"/>
        <family val="2"/>
        <scheme val="minor"/>
      </rPr>
      <t>Enable this contents</t>
    </r>
  </si>
  <si>
    <r>
      <t xml:space="preserve">di atas Formula bar, ada </t>
    </r>
    <r>
      <rPr>
        <b/>
        <sz val="16"/>
        <color theme="0"/>
        <rFont val="Calibri"/>
        <family val="2"/>
        <scheme val="minor"/>
      </rPr>
      <t>Security Warning</t>
    </r>
    <r>
      <rPr>
        <sz val="16"/>
        <color theme="0"/>
        <rFont val="Calibri"/>
        <family val="2"/>
        <scheme val="minor"/>
      </rPr>
      <t>.Lalu pilih</t>
    </r>
    <r>
      <rPr>
        <b/>
        <sz val="16"/>
        <color theme="0"/>
        <rFont val="Calibri"/>
        <family val="2"/>
        <scheme val="minor"/>
      </rPr>
      <t xml:space="preserve"> Enable this contents</t>
    </r>
  </si>
  <si>
    <t>Pilih Kelas ---&gt;</t>
  </si>
  <si>
    <t>Ahmad</t>
  </si>
  <si>
    <t>Hadi</t>
  </si>
  <si>
    <t>DFC</t>
  </si>
  <si>
    <t>Rahmad</t>
  </si>
  <si>
    <t>Daftar</t>
  </si>
  <si>
    <t>X-2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</si>
</sst>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[$-21]d\ mmm\ yyyy"/>
  </numFmts>
  <fonts count="25" x14ac:knownFonts="1">
    <font>
      <sz val="11"/>
      <color theme="1"/>
      <name val="Calibri"/>
      <family val="2"/>
      <scheme val="minor"/>
    </font>
    <font>
      <b/>
      <sz val="11"/>
      <color indexed="56"/>
      <name val="Calibri"/>
      <family val="2"/>
    </font>
    <font>
      <b/>
      <sz val="11"/>
      <color indexed="3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8"/>
      <color rgb="FFFFFF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206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Protection="1">
      <protection locked="0"/>
    </xf>
    <xf numFmtId="0" fontId="0" fillId="3" borderId="0" xfId="0" applyFont="1" applyFill="1"/>
    <xf numFmtId="0" fontId="8" fillId="3" borderId="0" xfId="0" applyFont="1" applyFill="1"/>
    <xf numFmtId="0" fontId="8" fillId="3" borderId="0" xfId="0" applyFont="1" applyFill="1" applyProtection="1"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center"/>
    </xf>
    <xf numFmtId="0" fontId="5" fillId="5" borderId="0" xfId="0" applyFont="1" applyFill="1"/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37" fontId="3" fillId="0" borderId="0" xfId="1" applyNumberFormat="1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6" borderId="0" xfId="0" applyFill="1"/>
    <xf numFmtId="0" fontId="9" fillId="6" borderId="0" xfId="0" applyFont="1" applyFill="1"/>
    <xf numFmtId="0" fontId="10" fillId="6" borderId="0" xfId="0" quotePrefix="1" applyFont="1" applyFill="1"/>
    <xf numFmtId="0" fontId="10" fillId="6" borderId="0" xfId="0" applyFont="1" applyFill="1"/>
    <xf numFmtId="0" fontId="0" fillId="0" borderId="0" xfId="0" quotePrefix="1"/>
    <xf numFmtId="3" fontId="0" fillId="0" borderId="0" xfId="0" applyNumberFormat="1"/>
    <xf numFmtId="0" fontId="0" fillId="7" borderId="0" xfId="0" applyFill="1"/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/>
    <xf numFmtId="0" fontId="12" fillId="7" borderId="0" xfId="0" applyFont="1" applyFill="1" applyAlignment="1">
      <alignment horizontal="lef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5" fillId="0" borderId="0" xfId="0" applyFont="1" applyAlignment="1">
      <alignment horizontal="centerContinuous"/>
    </xf>
    <xf numFmtId="0" fontId="18" fillId="0" borderId="0" xfId="0" applyFont="1"/>
    <xf numFmtId="0" fontId="19" fillId="0" borderId="0" xfId="0" applyFont="1"/>
    <xf numFmtId="0" fontId="0" fillId="9" borderId="0" xfId="0" applyFont="1" applyFill="1"/>
    <xf numFmtId="0" fontId="4" fillId="9" borderId="0" xfId="0" applyFont="1" applyFill="1"/>
    <xf numFmtId="0" fontId="21" fillId="9" borderId="0" xfId="0" applyFont="1" applyFill="1" applyAlignment="1">
      <alignment horizontal="center"/>
    </xf>
    <xf numFmtId="0" fontId="20" fillId="9" borderId="0" xfId="0" applyFont="1" applyFill="1" applyAlignment="1">
      <alignment horizontal="center"/>
    </xf>
    <xf numFmtId="0" fontId="23" fillId="9" borderId="0" xfId="0" applyFont="1" applyFill="1" applyAlignment="1">
      <alignment horizontal="center"/>
    </xf>
    <xf numFmtId="0" fontId="6" fillId="7" borderId="0" xfId="0" applyFont="1" applyFill="1"/>
    <xf numFmtId="0" fontId="11" fillId="7" borderId="0" xfId="0" applyFont="1" applyFill="1"/>
    <xf numFmtId="41" fontId="0" fillId="0" borderId="0" xfId="1" applyNumberFormat="1" applyFont="1" applyProtection="1">
      <protection locked="0"/>
    </xf>
    <xf numFmtId="0" fontId="0" fillId="7" borderId="0" xfId="0" applyFill="1" applyProtection="1">
      <protection locked="0"/>
    </xf>
    <xf numFmtId="0" fontId="6" fillId="7" borderId="0" xfId="0" applyFont="1" applyFill="1" applyAlignment="1">
      <alignment horizontal="left"/>
    </xf>
    <xf numFmtId="0" fontId="6" fillId="0" borderId="0" xfId="0" applyFont="1"/>
    <xf numFmtId="0" fontId="13" fillId="2" borderId="0" xfId="0" applyFont="1" applyFill="1" applyAlignment="1">
      <alignment horizontal="left"/>
    </xf>
    <xf numFmtId="0" fontId="14" fillId="8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5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15" dropStyle="combo" dx="16" fmlaLink="D1" fmlaRange="DaftarKelas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0" dropStyle="combo" dx="16" fmlaLink="K1" fmlaRange="Namama" noThreeD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247651</xdr:colOff>
      <xdr:row>7</xdr:row>
      <xdr:rowOff>0</xdr:rowOff>
    </xdr:from>
    <xdr:to>
      <xdr:col>1</xdr:col>
      <xdr:colOff>2009775</xdr:colOff>
      <xdr:row>10</xdr:row>
      <xdr:rowOff>133350</xdr:rowOff>
    </xdr:to>
    <xdr:sp macro="[0]!TampilForm" textlink="">
      <xdr:nvSpPr>
        <xdr:cNvPr id="2" name="Rectangle 1"/>
        <xdr:cNvSpPr/>
      </xdr:nvSpPr>
      <xdr:spPr>
        <a:xfrm>
          <a:off x="1114426" y="1333500"/>
          <a:ext cx="1762124" cy="704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/>
            <a:t>Selesai.</a:t>
          </a:r>
        </a:p>
        <a:p>
          <a:pPr algn="ctr"/>
          <a:r>
            <a:rPr lang="id-ID" sz="1400"/>
            <a:t>Kembali Ke 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</xdr:row>
          <xdr:rowOff>95250</xdr:rowOff>
        </xdr:from>
        <xdr:to>
          <xdr:col>2</xdr:col>
          <xdr:colOff>1819275</xdr:colOff>
          <xdr:row>2</xdr:row>
          <xdr:rowOff>66675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</xdr:row>
          <xdr:rowOff>28575</xdr:rowOff>
        </xdr:from>
        <xdr:to>
          <xdr:col>0</xdr:col>
          <xdr:colOff>857250</xdr:colOff>
          <xdr:row>4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Simpan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6</xdr:row>
          <xdr:rowOff>142875</xdr:rowOff>
        </xdr:from>
        <xdr:to>
          <xdr:col>0</xdr:col>
          <xdr:colOff>857250</xdr:colOff>
          <xdr:row>10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Selesai. 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 ke Menu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4</xdr:row>
          <xdr:rowOff>180975</xdr:rowOff>
        </xdr:from>
        <xdr:to>
          <xdr:col>0</xdr:col>
          <xdr:colOff>857250</xdr:colOff>
          <xdr:row>6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Hapus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Hapus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7</xdr:row>
          <xdr:rowOff>152400</xdr:rowOff>
        </xdr:from>
        <xdr:to>
          <xdr:col>0</xdr:col>
          <xdr:colOff>790575</xdr:colOff>
          <xdr:row>12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 Ke Menu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142875</xdr:rowOff>
        </xdr:from>
        <xdr:to>
          <xdr:col>4</xdr:col>
          <xdr:colOff>657225</xdr:colOff>
          <xdr:row>0</xdr:row>
          <xdr:rowOff>419100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0</xdr:row>
          <xdr:rowOff>142875</xdr:rowOff>
        </xdr:from>
        <xdr:to>
          <xdr:col>9</xdr:col>
          <xdr:colOff>742950</xdr:colOff>
          <xdr:row>0</xdr:row>
          <xdr:rowOff>409575</xdr:rowOff>
        </xdr:to>
        <xdr:sp macro="" textlink="">
          <xdr:nvSpPr>
            <xdr:cNvPr id="5124" name="D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114300</xdr:rowOff>
        </xdr:from>
        <xdr:to>
          <xdr:col>10</xdr:col>
          <xdr:colOff>561975</xdr:colOff>
          <xdr:row>0</xdr:row>
          <xdr:rowOff>504825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809625</xdr:colOff>
          <xdr:row>0</xdr:row>
          <xdr:rowOff>142875</xdr:rowOff>
        </xdr:from>
        <xdr:to>
          <xdr:col>4</xdr:col>
          <xdr:colOff>542925</xdr:colOff>
          <xdr:row>2</xdr:row>
          <xdr:rowOff>19050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95250</xdr:rowOff>
        </xdr:from>
        <xdr:to>
          <xdr:col>7</xdr:col>
          <xdr:colOff>180975</xdr:colOff>
          <xdr:row>2</xdr:row>
          <xdr:rowOff>95250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0</xdr:row>
          <xdr:rowOff>95250</xdr:rowOff>
        </xdr:from>
        <xdr:to>
          <xdr:col>9</xdr:col>
          <xdr:colOff>180975</xdr:colOff>
          <xdr:row>2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 Ke Menu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85725</xdr:rowOff>
        </xdr:from>
        <xdr:to>
          <xdr:col>0</xdr:col>
          <xdr:colOff>790575</xdr:colOff>
          <xdr:row>7</xdr:row>
          <xdr:rowOff>142875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57150</xdr:rowOff>
        </xdr:from>
        <xdr:to>
          <xdr:col>0</xdr:col>
          <xdr:colOff>809625</xdr:colOff>
          <xdr:row>2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 Menu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1"/>
  <sheetViews>
    <sheetView workbookViewId="0">
      <selection activeCell="B5" sqref="B5"/>
    </sheetView>
  </sheetViews>
  <sheetFormatPr defaultColWidth="0" defaultRowHeight="15" x14ac:dyDescent="0.25"/>
  <cols>
    <col min="1" max="1" width="13" customWidth="1"/>
    <col min="2" max="2" width="35.28515625" customWidth="1"/>
    <col min="3" max="3" width="25.140625" customWidth="1"/>
    <col min="4" max="16384" width="9.140625" hidden="1"/>
  </cols>
  <sheetData>
    <row r="1" spans="1:7" x14ac:dyDescent="0.25">
      <c r="A1" s="3" t="s">
        <v>0</v>
      </c>
      <c r="B1" s="1" t="s">
        <v>8</v>
      </c>
      <c r="F1" s="3">
        <v>1</v>
      </c>
      <c r="G1" s="3">
        <v>1</v>
      </c>
    </row>
    <row r="2" spans="1:7" x14ac:dyDescent="0.25">
      <c r="A2" s="3" t="s">
        <v>91</v>
      </c>
      <c r="B2" s="5" t="s">
        <v>9</v>
      </c>
      <c r="F2" s="3">
        <v>2</v>
      </c>
      <c r="G2" s="3">
        <f ca="1">IFERROR(OFFSET(F1,G1-1,0),0)</f>
        <v>1</v>
      </c>
    </row>
    <row r="3" spans="1:7" x14ac:dyDescent="0.25">
      <c r="A3" s="3" t="s">
        <v>1</v>
      </c>
      <c r="F3" s="3"/>
    </row>
    <row r="4" spans="1:7" x14ac:dyDescent="0.25">
      <c r="A4" s="3" t="s">
        <v>2</v>
      </c>
      <c r="B4" s="2" t="s">
        <v>6</v>
      </c>
      <c r="F4" s="3"/>
    </row>
    <row r="5" spans="1:7" x14ac:dyDescent="0.25">
      <c r="A5" s="3" t="s">
        <v>10</v>
      </c>
      <c r="B5" s="4" t="s">
        <v>7</v>
      </c>
      <c r="F5" s="3">
        <v>209</v>
      </c>
    </row>
    <row r="6" spans="1:7" x14ac:dyDescent="0.25">
      <c r="A6" s="3" t="s">
        <v>11</v>
      </c>
      <c r="F6" s="3">
        <v>210</v>
      </c>
    </row>
    <row r="7" spans="1:7" x14ac:dyDescent="0.25">
      <c r="A7" s="3" t="s">
        <v>12</v>
      </c>
      <c r="F7" s="3">
        <v>211</v>
      </c>
    </row>
    <row r="8" spans="1:7" x14ac:dyDescent="0.25">
      <c r="A8" s="3" t="s">
        <v>13</v>
      </c>
      <c r="F8" s="3"/>
    </row>
    <row r="9" spans="1:7" x14ac:dyDescent="0.25">
      <c r="A9" s="3" t="s">
        <v>14</v>
      </c>
      <c r="F9" s="3"/>
    </row>
    <row r="10" spans="1:7" x14ac:dyDescent="0.25">
      <c r="A10" s="3" t="s">
        <v>15</v>
      </c>
      <c r="F10" s="3"/>
    </row>
    <row r="11" spans="1:7" x14ac:dyDescent="0.25">
      <c r="A11" s="3" t="s">
        <v>16</v>
      </c>
      <c r="F11" s="3"/>
    </row>
    <row r="12" spans="1:7" x14ac:dyDescent="0.25">
      <c r="A12" s="3" t="s">
        <v>17</v>
      </c>
      <c r="F12" s="3"/>
    </row>
    <row r="13" spans="1:7" x14ac:dyDescent="0.25">
      <c r="A13" s="3" t="s">
        <v>18</v>
      </c>
      <c r="F13" s="3"/>
    </row>
    <row r="14" spans="1:7" x14ac:dyDescent="0.25">
      <c r="A14" s="3" t="s">
        <v>19</v>
      </c>
      <c r="F14" s="3"/>
    </row>
    <row r="15" spans="1:7" x14ac:dyDescent="0.25">
      <c r="A15" s="3" t="s">
        <v>20</v>
      </c>
      <c r="F15" s="3"/>
    </row>
    <row r="16" spans="1:7" x14ac:dyDescent="0.25">
      <c r="A16" s="3" t="s">
        <v>21</v>
      </c>
      <c r="F16" s="3"/>
    </row>
    <row r="17" spans="1:6" x14ac:dyDescent="0.25">
      <c r="A17" s="3"/>
      <c r="F17" s="3"/>
    </row>
    <row r="18" spans="1:6" x14ac:dyDescent="0.25">
      <c r="A18" s="3"/>
      <c r="F18" s="3"/>
    </row>
    <row r="19" spans="1:6" x14ac:dyDescent="0.25">
      <c r="A19" s="3"/>
      <c r="F19" s="3"/>
    </row>
    <row r="20" spans="1:6" x14ac:dyDescent="0.25">
      <c r="A20" s="3"/>
      <c r="F20" s="3"/>
    </row>
    <row r="21" spans="1:6" x14ac:dyDescent="0.25">
      <c r="A21" s="3"/>
      <c r="F21" s="3"/>
    </row>
    <row r="22" spans="1:6" x14ac:dyDescent="0.25">
      <c r="A22" s="3"/>
      <c r="F22" s="3"/>
    </row>
    <row r="23" spans="1:6" x14ac:dyDescent="0.25">
      <c r="A23" s="3"/>
      <c r="F23" s="3"/>
    </row>
    <row r="24" spans="1:6" x14ac:dyDescent="0.25">
      <c r="A24" s="3"/>
      <c r="F24" s="3"/>
    </row>
    <row r="25" spans="1:6" x14ac:dyDescent="0.25">
      <c r="A25" s="3"/>
      <c r="F25" s="3"/>
    </row>
    <row r="26" spans="1:6" x14ac:dyDescent="0.25">
      <c r="A26" s="3"/>
      <c r="F26" s="3"/>
    </row>
    <row r="27" spans="1:6" x14ac:dyDescent="0.25">
      <c r="A27" s="3"/>
      <c r="F27" s="3"/>
    </row>
    <row r="28" spans="1:6" x14ac:dyDescent="0.25">
      <c r="A28" s="3"/>
      <c r="F28" s="3"/>
    </row>
    <row r="29" spans="1:6" x14ac:dyDescent="0.25">
      <c r="A29" s="3"/>
      <c r="F29" s="3"/>
    </row>
    <row r="30" spans="1:6" x14ac:dyDescent="0.25">
      <c r="A30" s="3"/>
      <c r="F30" s="3"/>
    </row>
    <row r="31" spans="1:6" x14ac:dyDescent="0.25">
      <c r="A31" s="3"/>
      <c r="F31" s="3"/>
    </row>
    <row r="32" spans="1:6" x14ac:dyDescent="0.25">
      <c r="A32" s="3"/>
      <c r="F32" s="3"/>
    </row>
    <row r="33" spans="1:6" x14ac:dyDescent="0.25">
      <c r="A33" s="3"/>
      <c r="F33" s="3"/>
    </row>
    <row r="34" spans="1:6" x14ac:dyDescent="0.25">
      <c r="A34" s="3"/>
      <c r="F34" s="3"/>
    </row>
    <row r="35" spans="1:6" x14ac:dyDescent="0.25">
      <c r="A35" s="3"/>
      <c r="F35" s="3"/>
    </row>
    <row r="36" spans="1:6" x14ac:dyDescent="0.25">
      <c r="A36" s="3"/>
      <c r="F36" s="3"/>
    </row>
    <row r="37" spans="1:6" x14ac:dyDescent="0.25">
      <c r="A37" s="3"/>
      <c r="F37" s="3"/>
    </row>
    <row r="38" spans="1:6" x14ac:dyDescent="0.25">
      <c r="A38" s="3"/>
      <c r="F38" s="3"/>
    </row>
    <row r="39" spans="1:6" x14ac:dyDescent="0.25">
      <c r="A39" s="3"/>
      <c r="F39" s="3"/>
    </row>
    <row r="40" spans="1:6" x14ac:dyDescent="0.25">
      <c r="A40" s="3"/>
      <c r="F40" s="3"/>
    </row>
    <row r="41" spans="1:6" x14ac:dyDescent="0.25">
      <c r="F41" s="3"/>
    </row>
    <row r="42" spans="1:6" x14ac:dyDescent="0.25">
      <c r="F42" s="3"/>
    </row>
    <row r="43" spans="1:6" x14ac:dyDescent="0.25">
      <c r="F43" s="3"/>
    </row>
    <row r="44" spans="1:6" x14ac:dyDescent="0.25">
      <c r="F44" s="3"/>
    </row>
    <row r="45" spans="1:6" x14ac:dyDescent="0.25">
      <c r="F45" s="3"/>
    </row>
    <row r="46" spans="1:6" x14ac:dyDescent="0.25">
      <c r="F46" s="3"/>
    </row>
    <row r="47" spans="1:6" x14ac:dyDescent="0.25">
      <c r="F47" s="3"/>
    </row>
    <row r="48" spans="1:6" x14ac:dyDescent="0.25">
      <c r="F48" s="3"/>
    </row>
    <row r="49" spans="6:6" x14ac:dyDescent="0.25">
      <c r="F49" s="3"/>
    </row>
    <row r="50" spans="6:6" x14ac:dyDescent="0.25">
      <c r="F50" s="3"/>
    </row>
    <row r="51" spans="6:6" x14ac:dyDescent="0.25">
      <c r="F51" s="3"/>
    </row>
    <row r="52" spans="6:6" x14ac:dyDescent="0.25">
      <c r="F52" s="3"/>
    </row>
    <row r="53" spans="6:6" x14ac:dyDescent="0.25">
      <c r="F53" s="3"/>
    </row>
    <row r="54" spans="6:6" x14ac:dyDescent="0.25">
      <c r="F54" s="3"/>
    </row>
    <row r="55" spans="6:6" x14ac:dyDescent="0.25">
      <c r="F55" s="3"/>
    </row>
    <row r="56" spans="6:6" x14ac:dyDescent="0.25">
      <c r="F56" s="3"/>
    </row>
    <row r="57" spans="6:6" x14ac:dyDescent="0.25">
      <c r="F57" s="3"/>
    </row>
    <row r="58" spans="6:6" x14ac:dyDescent="0.25">
      <c r="F58" s="3"/>
    </row>
    <row r="59" spans="6:6" x14ac:dyDescent="0.25">
      <c r="F59" s="3"/>
    </row>
    <row r="60" spans="6:6" x14ac:dyDescent="0.25">
      <c r="F60" s="3"/>
    </row>
    <row r="61" spans="6:6" x14ac:dyDescent="0.25">
      <c r="F61" s="3"/>
    </row>
    <row r="62" spans="6:6" x14ac:dyDescent="0.25">
      <c r="F62" s="3"/>
    </row>
    <row r="63" spans="6:6" x14ac:dyDescent="0.25">
      <c r="F63" s="3"/>
    </row>
    <row r="64" spans="6:6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</sheetData>
  <sheetProtection sheet="1" objects="1" scenarios="1" selectLockedCells="1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"/>
  <sheetViews>
    <sheetView workbookViewId="0">
      <selection activeCell="D10" sqref="D10"/>
    </sheetView>
  </sheetViews>
  <sheetFormatPr defaultRowHeight="15" x14ac:dyDescent="0.25"/>
  <cols>
    <col min="1" max="1" width="6.140625" customWidth="1"/>
    <col min="2" max="2" width="23.7109375" customWidth="1"/>
    <col min="5" max="16" width="9.7109375" customWidth="1"/>
  </cols>
  <sheetData>
    <row r="1" spans="1:17" x14ac:dyDescent="0.25">
      <c r="A1" s="2" t="s">
        <v>3</v>
      </c>
      <c r="B1" s="2" t="s">
        <v>38</v>
      </c>
      <c r="C1" s="2" t="s">
        <v>4</v>
      </c>
      <c r="D1" s="2" t="s">
        <v>5</v>
      </c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  <c r="L1" s="2">
        <v>8</v>
      </c>
      <c r="M1" s="2">
        <v>9</v>
      </c>
      <c r="N1" s="2">
        <v>10</v>
      </c>
      <c r="O1" s="2">
        <v>11</v>
      </c>
      <c r="P1" s="2">
        <v>12</v>
      </c>
      <c r="Q1" s="2"/>
    </row>
    <row r="2" spans="1:17" x14ac:dyDescent="0.25">
      <c r="A2">
        <v>1</v>
      </c>
      <c r="B2" t="s">
        <v>86</v>
      </c>
      <c r="C2">
        <v>1</v>
      </c>
      <c r="D2" t="s">
        <v>0</v>
      </c>
    </row>
    <row r="3" spans="1:17" x14ac:dyDescent="0.25">
      <c r="A3">
        <v>2</v>
      </c>
      <c r="B3" t="s">
        <v>87</v>
      </c>
      <c r="C3">
        <v>2</v>
      </c>
      <c r="D3" t="s">
        <v>0</v>
      </c>
    </row>
    <row r="18" spans="3:3" x14ac:dyDescent="0.25">
      <c r="C18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0"/>
  <sheetViews>
    <sheetView workbookViewId="0">
      <selection activeCell="C10" sqref="C10"/>
    </sheetView>
  </sheetViews>
  <sheetFormatPr defaultColWidth="0" defaultRowHeight="15" x14ac:dyDescent="0.25"/>
  <cols>
    <col min="1" max="1" width="14.42578125" customWidth="1"/>
    <col min="2" max="2" width="6.85546875" customWidth="1"/>
    <col min="3" max="3" width="31" customWidth="1"/>
    <col min="4" max="4" width="12.28515625" customWidth="1"/>
    <col min="5" max="5" width="4.42578125" customWidth="1"/>
    <col min="6" max="6" width="1.85546875" customWidth="1"/>
    <col min="7" max="7" width="3.5703125" customWidth="1"/>
    <col min="8" max="12" width="9.140625" customWidth="1"/>
    <col min="13" max="13" width="3.7109375" customWidth="1"/>
    <col min="14" max="16384" width="9.140625" hidden="1"/>
  </cols>
  <sheetData>
    <row r="1" spans="1:13" ht="10.5" customHeight="1" x14ac:dyDescent="0.25">
      <c r="A1" s="6"/>
      <c r="B1" s="53" t="s">
        <v>22</v>
      </c>
      <c r="C1" s="53"/>
      <c r="D1" s="11">
        <v>2</v>
      </c>
      <c r="E1" s="6"/>
      <c r="F1" s="6"/>
      <c r="G1" s="6"/>
      <c r="H1" s="6"/>
      <c r="I1" s="6"/>
      <c r="J1" s="6"/>
      <c r="K1" s="6"/>
      <c r="L1" s="6"/>
      <c r="M1" s="6"/>
    </row>
    <row r="2" spans="1:13" ht="23.25" x14ac:dyDescent="0.35">
      <c r="A2" s="9">
        <f ca="1">COUNTA(INDIRECT("Tabel!B2:B4000"))</f>
        <v>2</v>
      </c>
      <c r="B2" s="53"/>
      <c r="C2" s="53"/>
      <c r="D2" s="9" t="str">
        <f ca="1">OFFSET(Kelas!A1,D1-1,0)</f>
        <v>X-2</v>
      </c>
      <c r="E2" s="6"/>
      <c r="F2" s="6"/>
      <c r="G2" s="10" t="s">
        <v>30</v>
      </c>
      <c r="H2" s="6"/>
      <c r="I2" s="6"/>
      <c r="J2" s="6"/>
      <c r="K2" s="6"/>
      <c r="L2" s="6"/>
      <c r="M2" s="6"/>
    </row>
    <row r="3" spans="1:13" ht="15.7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6"/>
      <c r="B4" s="15" t="s">
        <v>3</v>
      </c>
      <c r="C4" s="15" t="s">
        <v>31</v>
      </c>
      <c r="D4" s="15" t="s">
        <v>23</v>
      </c>
      <c r="E4" s="6"/>
      <c r="F4" s="6"/>
      <c r="G4" s="54" t="s">
        <v>24</v>
      </c>
      <c r="H4" s="54"/>
      <c r="I4" s="54"/>
      <c r="J4" s="54"/>
      <c r="K4" s="54"/>
      <c r="L4" s="54"/>
      <c r="M4" s="6"/>
    </row>
    <row r="5" spans="1:13" x14ac:dyDescent="0.25">
      <c r="A5" s="6"/>
      <c r="B5" s="5">
        <v>1</v>
      </c>
      <c r="C5" s="3" t="s">
        <v>89</v>
      </c>
      <c r="D5" s="3">
        <v>23</v>
      </c>
      <c r="E5" s="9" t="e">
        <f ca="1">COUNTIF(Tabel!C$2:C$4000,INDIRECT("D"&amp;ROW()))*MATCH(INDIRECT("D"&amp;ROW()),Tabel!C$2:C$4000,0)</f>
        <v>#N/A</v>
      </c>
      <c r="F5" s="6"/>
      <c r="G5" s="8">
        <v>1</v>
      </c>
      <c r="H5" s="7" t="s">
        <v>32</v>
      </c>
      <c r="I5" s="7"/>
      <c r="J5" s="7"/>
      <c r="K5" s="7"/>
      <c r="L5" s="7"/>
      <c r="M5" s="6"/>
    </row>
    <row r="6" spans="1:13" x14ac:dyDescent="0.25">
      <c r="A6" s="6"/>
      <c r="B6" s="5">
        <v>2</v>
      </c>
      <c r="C6" s="3" t="s">
        <v>90</v>
      </c>
      <c r="D6" s="3">
        <v>24</v>
      </c>
      <c r="E6" s="9" t="e">
        <f ca="1">COUNTIF(Tabel!C$2:C$4000,INDIRECT("D"&amp;ROW()))*MATCH(INDIRECT("D"&amp;ROW()),Tabel!C$2:C$4000,0)</f>
        <v>#N/A</v>
      </c>
      <c r="F6" s="6"/>
      <c r="G6" s="8"/>
      <c r="H6" s="7" t="s">
        <v>25</v>
      </c>
      <c r="I6" s="7"/>
      <c r="J6" s="7"/>
      <c r="K6" s="7"/>
      <c r="L6" s="7"/>
      <c r="M6" s="6"/>
    </row>
    <row r="7" spans="1:13" x14ac:dyDescent="0.25">
      <c r="A7" s="6"/>
      <c r="B7" s="5"/>
      <c r="C7" s="3"/>
      <c r="D7" s="3"/>
      <c r="E7" s="9" t="e">
        <f ca="1">COUNTIF(Tabel!C$2:C$4000,INDIRECT("D"&amp;ROW()))*MATCH(INDIRECT("D"&amp;ROW()),Tabel!C$2:C$4000,0)</f>
        <v>#N/A</v>
      </c>
      <c r="F7" s="6"/>
      <c r="G7" s="8"/>
      <c r="H7" s="7" t="s">
        <v>26</v>
      </c>
      <c r="I7" s="7"/>
      <c r="J7" s="7"/>
      <c r="K7" s="7"/>
      <c r="L7" s="7"/>
      <c r="M7" s="6"/>
    </row>
    <row r="8" spans="1:13" x14ac:dyDescent="0.25">
      <c r="A8" s="6"/>
      <c r="B8" s="5"/>
      <c r="C8" s="3"/>
      <c r="D8" s="3"/>
      <c r="E8" s="9" t="e">
        <f ca="1">COUNTIF(Tabel!C$2:C$4000,INDIRECT("D"&amp;ROW()))*MATCH(INDIRECT("D"&amp;ROW()),Tabel!C$2:C$4000,0)</f>
        <v>#N/A</v>
      </c>
      <c r="F8" s="6"/>
      <c r="G8" s="8"/>
      <c r="H8" s="7"/>
      <c r="I8" s="7"/>
      <c r="J8" s="7"/>
      <c r="K8" s="7"/>
      <c r="L8" s="7"/>
      <c r="M8" s="6"/>
    </row>
    <row r="9" spans="1:13" x14ac:dyDescent="0.25">
      <c r="A9" s="6"/>
      <c r="B9" s="5"/>
      <c r="C9" s="3"/>
      <c r="D9" s="3"/>
      <c r="E9" s="9"/>
      <c r="F9" s="6"/>
      <c r="G9" s="8">
        <v>2</v>
      </c>
      <c r="H9" s="7" t="s">
        <v>33</v>
      </c>
      <c r="I9" s="7"/>
      <c r="J9" s="7"/>
      <c r="K9" s="7"/>
      <c r="L9" s="7"/>
      <c r="M9" s="6"/>
    </row>
    <row r="10" spans="1:13" x14ac:dyDescent="0.25">
      <c r="A10" s="6"/>
      <c r="B10" s="5"/>
      <c r="C10" s="3"/>
      <c r="D10" s="3"/>
      <c r="E10" s="9"/>
      <c r="F10" s="6"/>
      <c r="G10" s="8"/>
      <c r="H10" s="7" t="s">
        <v>27</v>
      </c>
      <c r="I10" s="7"/>
      <c r="J10" s="7"/>
      <c r="K10" s="7"/>
      <c r="L10" s="7"/>
      <c r="M10" s="6"/>
    </row>
    <row r="11" spans="1:13" x14ac:dyDescent="0.25">
      <c r="A11" s="6"/>
      <c r="B11" s="5"/>
      <c r="C11" s="3"/>
      <c r="D11" s="3"/>
      <c r="E11" s="9"/>
      <c r="F11" s="6"/>
      <c r="G11" s="8"/>
      <c r="H11" s="7" t="s">
        <v>28</v>
      </c>
      <c r="I11" s="7"/>
      <c r="J11" s="7"/>
      <c r="K11" s="7"/>
      <c r="L11" s="7"/>
      <c r="M11" s="6"/>
    </row>
    <row r="12" spans="1:13" x14ac:dyDescent="0.25">
      <c r="A12" s="6"/>
      <c r="B12" s="5"/>
      <c r="C12" s="3"/>
      <c r="D12" s="3"/>
      <c r="E12" s="9"/>
      <c r="F12" s="6"/>
      <c r="G12" s="8"/>
      <c r="H12" s="7"/>
      <c r="I12" s="7"/>
      <c r="J12" s="7"/>
      <c r="K12" s="7"/>
      <c r="L12" s="7"/>
      <c r="M12" s="6"/>
    </row>
    <row r="13" spans="1:13" x14ac:dyDescent="0.25">
      <c r="A13" s="6"/>
      <c r="B13" s="5"/>
      <c r="C13" s="3"/>
      <c r="D13" s="3"/>
      <c r="E13" s="9"/>
      <c r="F13" s="6"/>
      <c r="G13" s="8">
        <v>3</v>
      </c>
      <c r="H13" s="7" t="s">
        <v>34</v>
      </c>
      <c r="I13" s="7"/>
      <c r="J13" s="7"/>
      <c r="K13" s="7"/>
      <c r="L13" s="7"/>
      <c r="M13" s="6"/>
    </row>
    <row r="14" spans="1:13" x14ac:dyDescent="0.25">
      <c r="A14" s="6"/>
      <c r="B14" s="5"/>
      <c r="C14" s="3"/>
      <c r="D14" s="3"/>
      <c r="E14" s="9"/>
      <c r="F14" s="6"/>
      <c r="G14" s="8"/>
      <c r="H14" s="7" t="s">
        <v>29</v>
      </c>
      <c r="I14" s="7"/>
      <c r="J14" s="7"/>
      <c r="K14" s="7"/>
      <c r="L14" s="7"/>
      <c r="M14" s="6"/>
    </row>
    <row r="15" spans="1:13" x14ac:dyDescent="0.25">
      <c r="A15" s="6"/>
      <c r="B15" s="5"/>
      <c r="C15" s="3"/>
      <c r="D15" s="3"/>
      <c r="E15" s="9"/>
      <c r="F15" s="6"/>
      <c r="G15" s="8"/>
      <c r="H15" s="7"/>
      <c r="I15" s="7"/>
      <c r="J15" s="7"/>
      <c r="K15" s="7"/>
      <c r="L15" s="7"/>
      <c r="M15" s="6"/>
    </row>
    <row r="16" spans="1:13" x14ac:dyDescent="0.25">
      <c r="A16" s="6"/>
      <c r="B16" s="5"/>
      <c r="C16" s="3"/>
      <c r="D16" s="3"/>
      <c r="E16" s="9"/>
      <c r="F16" s="6"/>
      <c r="G16" s="8">
        <v>4</v>
      </c>
      <c r="H16" s="7" t="s">
        <v>36</v>
      </c>
      <c r="I16" s="7"/>
      <c r="J16" s="7"/>
      <c r="K16" s="7"/>
      <c r="L16" s="7"/>
      <c r="M16" s="6"/>
    </row>
    <row r="17" spans="1:13" x14ac:dyDescent="0.25">
      <c r="A17" s="6"/>
      <c r="B17" s="5"/>
      <c r="C17" s="3"/>
      <c r="D17" s="3"/>
      <c r="E17" s="9"/>
      <c r="F17" s="6"/>
      <c r="G17" s="8"/>
      <c r="H17" s="7" t="s">
        <v>37</v>
      </c>
      <c r="I17" s="7"/>
      <c r="J17" s="7"/>
      <c r="K17" s="7"/>
      <c r="L17" s="7"/>
      <c r="M17" s="6"/>
    </row>
    <row r="18" spans="1:13" x14ac:dyDescent="0.25">
      <c r="A18" s="6"/>
      <c r="B18" s="5"/>
      <c r="C18" s="3"/>
      <c r="D18" s="3"/>
      <c r="E18" s="9"/>
      <c r="F18" s="6"/>
      <c r="G18" s="7"/>
      <c r="H18" s="7"/>
      <c r="I18" s="7"/>
      <c r="J18" s="7"/>
      <c r="K18" s="7"/>
      <c r="L18" s="7"/>
      <c r="M18" s="6"/>
    </row>
    <row r="19" spans="1:13" x14ac:dyDescent="0.25">
      <c r="A19" s="6"/>
      <c r="B19" s="5"/>
      <c r="C19" s="3"/>
      <c r="D19" s="3"/>
      <c r="E19" s="9"/>
      <c r="F19" s="6"/>
      <c r="G19" s="7"/>
      <c r="H19" s="7"/>
      <c r="I19" s="7"/>
      <c r="J19" s="7"/>
      <c r="K19" s="7"/>
      <c r="L19" s="7"/>
      <c r="M19" s="6"/>
    </row>
    <row r="20" spans="1:13" x14ac:dyDescent="0.25">
      <c r="A20" s="6"/>
      <c r="B20" s="5"/>
      <c r="C20" s="3"/>
      <c r="D20" s="3"/>
      <c r="E20" s="9"/>
      <c r="F20" s="6"/>
      <c r="G20" s="7"/>
      <c r="H20" s="14"/>
      <c r="I20" s="13">
        <f ca="1">IFERROR(OFFSET(E4,H20,0)+1,0)</f>
        <v>1</v>
      </c>
      <c r="J20" s="12"/>
      <c r="K20" s="7"/>
      <c r="L20" s="7"/>
      <c r="M20" s="6"/>
    </row>
    <row r="21" spans="1:13" x14ac:dyDescent="0.25">
      <c r="A21" s="6"/>
      <c r="B21" s="5"/>
      <c r="C21" s="3"/>
      <c r="D21" s="3"/>
      <c r="E21" s="9"/>
      <c r="F21" s="6"/>
      <c r="G21" s="7"/>
      <c r="H21" s="7"/>
      <c r="I21" s="7"/>
      <c r="J21" s="7"/>
      <c r="K21" s="7"/>
      <c r="L21" s="7"/>
      <c r="M21" s="6"/>
    </row>
    <row r="22" spans="1:13" x14ac:dyDescent="0.25">
      <c r="A22" s="6"/>
      <c r="B22" s="5"/>
      <c r="C22" s="3"/>
      <c r="D22" s="3"/>
      <c r="E22" s="9"/>
      <c r="F22" s="6"/>
      <c r="G22" s="7"/>
      <c r="H22" s="7"/>
      <c r="I22" s="7"/>
      <c r="J22" s="7"/>
      <c r="K22" s="7"/>
      <c r="L22" s="7"/>
      <c r="M22" s="6"/>
    </row>
    <row r="23" spans="1:13" x14ac:dyDescent="0.25">
      <c r="A23" s="6"/>
      <c r="B23" s="5"/>
      <c r="C23" s="3"/>
      <c r="D23" s="3"/>
      <c r="E23" s="9"/>
      <c r="F23" s="6"/>
      <c r="G23" s="7"/>
      <c r="H23" s="7"/>
      <c r="I23" s="7"/>
      <c r="J23" s="7"/>
      <c r="K23" s="7"/>
      <c r="L23" s="7"/>
      <c r="M23" s="6"/>
    </row>
    <row r="24" spans="1:13" x14ac:dyDescent="0.25">
      <c r="A24" s="6"/>
      <c r="B24" s="5"/>
      <c r="C24" s="3"/>
      <c r="D24" s="3"/>
      <c r="E24" s="9"/>
      <c r="F24" s="6"/>
      <c r="G24" s="7"/>
      <c r="H24" s="7"/>
      <c r="I24" s="7"/>
      <c r="J24" s="7"/>
      <c r="K24" s="7"/>
      <c r="L24" s="7"/>
      <c r="M24" s="6"/>
    </row>
    <row r="25" spans="1:13" x14ac:dyDescent="0.25">
      <c r="A25" s="6"/>
      <c r="B25" s="5"/>
      <c r="C25" s="3"/>
      <c r="D25" s="3"/>
      <c r="E25" s="9"/>
      <c r="F25" s="6"/>
      <c r="G25" s="7"/>
      <c r="H25" s="7"/>
      <c r="I25" s="7"/>
      <c r="J25" s="7"/>
      <c r="K25" s="7"/>
      <c r="L25" s="7"/>
      <c r="M25" s="6"/>
    </row>
    <row r="26" spans="1:13" x14ac:dyDescent="0.25">
      <c r="A26" s="6"/>
      <c r="B26" s="5"/>
      <c r="C26" s="3"/>
      <c r="D26" s="3"/>
      <c r="E26" s="9"/>
      <c r="F26" s="6"/>
      <c r="G26" s="7"/>
      <c r="H26" s="7"/>
      <c r="I26" s="7"/>
      <c r="J26" s="7"/>
      <c r="K26" s="7"/>
      <c r="L26" s="7"/>
      <c r="M26" s="6"/>
    </row>
    <row r="27" spans="1:13" x14ac:dyDescent="0.25">
      <c r="A27" s="6"/>
      <c r="B27" s="5"/>
      <c r="C27" s="3"/>
      <c r="D27" s="3"/>
      <c r="E27" s="9"/>
      <c r="F27" s="6"/>
      <c r="G27" s="7"/>
      <c r="H27" s="7"/>
      <c r="I27" s="7"/>
      <c r="J27" s="7"/>
      <c r="K27" s="7"/>
      <c r="L27" s="7"/>
      <c r="M27" s="6"/>
    </row>
    <row r="28" spans="1:13" x14ac:dyDescent="0.25">
      <c r="A28" s="6"/>
      <c r="B28" s="5"/>
      <c r="C28" s="3"/>
      <c r="D28" s="3"/>
      <c r="E28" s="9"/>
      <c r="F28" s="6"/>
      <c r="G28" s="7"/>
      <c r="H28" s="7"/>
      <c r="I28" s="7"/>
      <c r="J28" s="7"/>
      <c r="K28" s="7"/>
      <c r="L28" s="7"/>
      <c r="M28" s="6"/>
    </row>
    <row r="29" spans="1:13" x14ac:dyDescent="0.25">
      <c r="A29" s="6"/>
      <c r="B29" s="5"/>
      <c r="C29" s="3"/>
      <c r="D29" s="3"/>
      <c r="E29" s="9"/>
      <c r="F29" s="6"/>
      <c r="G29" s="7"/>
      <c r="H29" s="7"/>
      <c r="I29" s="7"/>
      <c r="J29" s="7"/>
      <c r="K29" s="7"/>
      <c r="L29" s="7"/>
      <c r="M29" s="6"/>
    </row>
    <row r="30" spans="1:13" x14ac:dyDescent="0.25">
      <c r="A30" s="6"/>
      <c r="B30" s="5"/>
      <c r="C30" s="3"/>
      <c r="D30" s="3"/>
      <c r="E30" s="9"/>
      <c r="F30" s="6"/>
      <c r="G30" s="7"/>
      <c r="H30" s="7"/>
      <c r="I30" s="7"/>
      <c r="J30" s="7"/>
      <c r="K30" s="7"/>
      <c r="L30" s="7"/>
      <c r="M30" s="6"/>
    </row>
    <row r="31" spans="1:13" x14ac:dyDescent="0.25">
      <c r="A31" s="6"/>
      <c r="B31" s="5"/>
      <c r="C31" s="3"/>
      <c r="D31" s="3"/>
      <c r="E31" s="9"/>
      <c r="F31" s="6"/>
      <c r="G31" s="7"/>
      <c r="H31" s="7"/>
      <c r="I31" s="7"/>
      <c r="J31" s="7"/>
      <c r="K31" s="7"/>
      <c r="L31" s="7"/>
      <c r="M31" s="6"/>
    </row>
    <row r="32" spans="1:13" x14ac:dyDescent="0.25">
      <c r="A32" s="6"/>
      <c r="B32" s="5"/>
      <c r="C32" s="3"/>
      <c r="D32" s="3"/>
      <c r="E32" s="9"/>
      <c r="F32" s="6"/>
      <c r="G32" s="7"/>
      <c r="H32" s="7"/>
      <c r="I32" s="7"/>
      <c r="J32" s="7"/>
      <c r="K32" s="7"/>
      <c r="L32" s="7"/>
      <c r="M32" s="6"/>
    </row>
    <row r="33" spans="1:13" x14ac:dyDescent="0.25">
      <c r="A33" s="6"/>
      <c r="B33" s="5"/>
      <c r="C33" s="3"/>
      <c r="D33" s="3"/>
      <c r="E33" s="9"/>
      <c r="F33" s="6"/>
      <c r="G33" s="7"/>
      <c r="H33" s="7"/>
      <c r="I33" s="7"/>
      <c r="J33" s="7"/>
      <c r="K33" s="7"/>
      <c r="L33" s="7"/>
      <c r="M33" s="6"/>
    </row>
    <row r="34" spans="1:13" x14ac:dyDescent="0.25">
      <c r="A34" s="6"/>
      <c r="B34" s="5"/>
      <c r="C34" s="3"/>
      <c r="D34" s="3"/>
      <c r="E34" s="9"/>
      <c r="F34" s="6"/>
      <c r="G34" s="7"/>
      <c r="H34" s="7"/>
      <c r="I34" s="7"/>
      <c r="J34" s="7"/>
      <c r="K34" s="7"/>
      <c r="L34" s="7"/>
      <c r="M34" s="6"/>
    </row>
    <row r="35" spans="1:13" x14ac:dyDescent="0.25">
      <c r="A35" s="6"/>
      <c r="B35" s="5"/>
      <c r="C35" s="3"/>
      <c r="D35" s="3"/>
      <c r="E35" s="9"/>
      <c r="F35" s="6"/>
      <c r="G35" s="7"/>
      <c r="H35" s="7"/>
      <c r="I35" s="7"/>
      <c r="J35" s="7"/>
      <c r="K35" s="7"/>
      <c r="L35" s="7"/>
      <c r="M35" s="6"/>
    </row>
    <row r="36" spans="1:13" x14ac:dyDescent="0.25">
      <c r="A36" s="6"/>
      <c r="B36" s="5"/>
      <c r="C36" s="3"/>
      <c r="D36" s="3"/>
      <c r="E36" s="9"/>
      <c r="F36" s="6"/>
      <c r="G36" s="7"/>
      <c r="H36" s="7"/>
      <c r="I36" s="7"/>
      <c r="J36" s="7"/>
      <c r="K36" s="7"/>
      <c r="L36" s="7"/>
      <c r="M36" s="6"/>
    </row>
    <row r="37" spans="1:13" x14ac:dyDescent="0.25">
      <c r="A37" s="6"/>
      <c r="B37" s="5"/>
      <c r="C37" s="3"/>
      <c r="D37" s="3"/>
      <c r="E37" s="9"/>
      <c r="F37" s="6"/>
      <c r="G37" s="7"/>
      <c r="H37" s="7"/>
      <c r="I37" s="7"/>
      <c r="J37" s="7"/>
      <c r="K37" s="7"/>
      <c r="L37" s="7"/>
      <c r="M37" s="6"/>
    </row>
    <row r="38" spans="1:13" x14ac:dyDescent="0.25">
      <c r="A38" s="6"/>
      <c r="B38" s="5"/>
      <c r="C38" s="3"/>
      <c r="D38" s="3"/>
      <c r="E38" s="9"/>
      <c r="F38" s="6"/>
      <c r="G38" s="7"/>
      <c r="H38" s="7"/>
      <c r="I38" s="7"/>
      <c r="J38" s="7"/>
      <c r="K38" s="7"/>
      <c r="L38" s="7"/>
      <c r="M38" s="6"/>
    </row>
    <row r="39" spans="1:13" x14ac:dyDescent="0.25">
      <c r="A39" s="6"/>
      <c r="B39" s="5"/>
      <c r="C39" s="3"/>
      <c r="D39" s="3"/>
      <c r="E39" s="9"/>
      <c r="F39" s="6"/>
      <c r="G39" s="7"/>
      <c r="H39" s="7"/>
      <c r="I39" s="7"/>
      <c r="J39" s="7"/>
      <c r="K39" s="7"/>
      <c r="L39" s="7"/>
      <c r="M39" s="6"/>
    </row>
    <row r="40" spans="1:13" x14ac:dyDescent="0.25">
      <c r="A40" s="6"/>
      <c r="B40" s="5"/>
      <c r="C40" s="3"/>
      <c r="D40" s="3"/>
      <c r="E40" s="9"/>
      <c r="F40" s="6"/>
      <c r="G40" s="7"/>
      <c r="H40" s="7"/>
      <c r="I40" s="7"/>
      <c r="J40" s="7"/>
      <c r="K40" s="7"/>
      <c r="L40" s="7"/>
      <c r="M40" s="6"/>
    </row>
    <row r="41" spans="1:13" x14ac:dyDescent="0.25">
      <c r="A41" s="6"/>
      <c r="B41" s="5"/>
      <c r="C41" s="3"/>
      <c r="D41" s="3"/>
      <c r="E41" s="9"/>
      <c r="F41" s="6"/>
      <c r="G41" s="7"/>
      <c r="H41" s="7"/>
      <c r="I41" s="7"/>
      <c r="J41" s="7"/>
      <c r="K41" s="7"/>
      <c r="L41" s="7"/>
      <c r="M41" s="6"/>
    </row>
    <row r="42" spans="1:13" x14ac:dyDescent="0.25">
      <c r="A42" s="6"/>
      <c r="B42" s="5"/>
      <c r="C42" s="3"/>
      <c r="D42" s="3"/>
      <c r="E42" s="9"/>
      <c r="F42" s="6"/>
      <c r="G42" s="7"/>
      <c r="H42" s="7"/>
      <c r="I42" s="7"/>
      <c r="J42" s="7"/>
      <c r="K42" s="7"/>
      <c r="L42" s="7"/>
      <c r="M42" s="6"/>
    </row>
    <row r="43" spans="1:13" x14ac:dyDescent="0.25">
      <c r="A43" s="6"/>
      <c r="B43" s="5"/>
      <c r="C43" s="3"/>
      <c r="D43" s="3"/>
      <c r="E43" s="9"/>
      <c r="F43" s="6"/>
      <c r="G43" s="7"/>
      <c r="H43" s="7"/>
      <c r="I43" s="7"/>
      <c r="J43" s="7"/>
      <c r="K43" s="7"/>
      <c r="L43" s="7"/>
      <c r="M43" s="6"/>
    </row>
    <row r="44" spans="1:13" x14ac:dyDescent="0.25">
      <c r="A44" s="6"/>
      <c r="B44" s="5"/>
      <c r="C44" s="3"/>
      <c r="D44" s="3"/>
      <c r="E44" s="9"/>
      <c r="F44" s="6"/>
      <c r="G44" s="7"/>
      <c r="H44" s="7"/>
      <c r="I44" s="7"/>
      <c r="J44" s="7"/>
      <c r="K44" s="7"/>
      <c r="L44" s="7"/>
      <c r="M44" s="6"/>
    </row>
    <row r="45" spans="1:13" x14ac:dyDescent="0.25">
      <c r="A45" s="6"/>
      <c r="B45" s="5"/>
      <c r="C45" s="3"/>
      <c r="D45" s="3"/>
      <c r="E45" s="9"/>
      <c r="F45" s="6"/>
      <c r="G45" s="7"/>
      <c r="H45" s="7"/>
      <c r="I45" s="7"/>
      <c r="J45" s="7"/>
      <c r="K45" s="7"/>
      <c r="L45" s="7"/>
      <c r="M45" s="6"/>
    </row>
    <row r="46" spans="1:13" x14ac:dyDescent="0.25">
      <c r="A46" s="6"/>
      <c r="B46" s="5"/>
      <c r="C46" s="3"/>
      <c r="D46" s="3"/>
      <c r="E46" s="9"/>
      <c r="F46" s="6"/>
      <c r="G46" s="7"/>
      <c r="H46" s="7"/>
      <c r="I46" s="7"/>
      <c r="J46" s="7"/>
      <c r="K46" s="7"/>
      <c r="L46" s="7"/>
      <c r="M46" s="6"/>
    </row>
    <row r="47" spans="1:13" x14ac:dyDescent="0.25">
      <c r="A47" s="6"/>
      <c r="B47" s="5"/>
      <c r="C47" s="3"/>
      <c r="D47" s="3"/>
      <c r="E47" s="9"/>
      <c r="F47" s="6"/>
      <c r="G47" s="7"/>
      <c r="H47" s="7"/>
      <c r="I47" s="7"/>
      <c r="J47" s="7"/>
      <c r="K47" s="7"/>
      <c r="L47" s="7"/>
      <c r="M47" s="6"/>
    </row>
    <row r="48" spans="1:13" x14ac:dyDescent="0.25">
      <c r="A48" s="6"/>
      <c r="B48" s="5"/>
      <c r="C48" s="3"/>
      <c r="D48" s="3"/>
      <c r="E48" s="9"/>
      <c r="F48" s="6"/>
      <c r="G48" s="7"/>
      <c r="H48" s="7"/>
      <c r="I48" s="7"/>
      <c r="J48" s="7"/>
      <c r="K48" s="7"/>
      <c r="L48" s="7"/>
      <c r="M48" s="6"/>
    </row>
    <row r="49" spans="1:13" x14ac:dyDescent="0.25">
      <c r="A49" s="6"/>
      <c r="B49" s="5"/>
      <c r="C49" s="3"/>
      <c r="D49" s="3"/>
      <c r="E49" s="9"/>
      <c r="F49" s="6"/>
      <c r="G49" s="7"/>
      <c r="H49" s="7"/>
      <c r="I49" s="7"/>
      <c r="J49" s="7"/>
      <c r="K49" s="7"/>
      <c r="L49" s="7"/>
      <c r="M49" s="6"/>
    </row>
    <row r="50" spans="1:13" x14ac:dyDescent="0.25">
      <c r="A50" s="6"/>
      <c r="B50" s="5"/>
      <c r="C50" s="3"/>
      <c r="D50" s="3"/>
      <c r="E50" s="9"/>
      <c r="F50" s="6"/>
      <c r="G50" s="7"/>
      <c r="H50" s="7"/>
      <c r="I50" s="7"/>
      <c r="J50" s="7"/>
      <c r="K50" s="7"/>
      <c r="L50" s="7"/>
      <c r="M50" s="6"/>
    </row>
    <row r="51" spans="1:13" x14ac:dyDescent="0.25">
      <c r="A51" s="6"/>
      <c r="B51" s="5"/>
      <c r="C51" s="3"/>
      <c r="D51" s="3"/>
      <c r="E51" s="9"/>
      <c r="F51" s="6"/>
      <c r="G51" s="7"/>
      <c r="H51" s="7"/>
      <c r="I51" s="7"/>
      <c r="J51" s="7"/>
      <c r="K51" s="7"/>
      <c r="L51" s="7"/>
      <c r="M51" s="6"/>
    </row>
    <row r="52" spans="1:13" x14ac:dyDescent="0.25">
      <c r="A52" s="6"/>
      <c r="B52" s="5"/>
      <c r="C52" s="3"/>
      <c r="D52" s="3"/>
      <c r="E52" s="9"/>
      <c r="F52" s="6"/>
      <c r="G52" s="7"/>
      <c r="H52" s="7"/>
      <c r="I52" s="7"/>
      <c r="J52" s="7"/>
      <c r="K52" s="7"/>
      <c r="L52" s="7"/>
      <c r="M52" s="6"/>
    </row>
    <row r="53" spans="1:13" x14ac:dyDescent="0.25">
      <c r="A53" s="6"/>
      <c r="B53" s="5"/>
      <c r="C53" s="3"/>
      <c r="D53" s="3"/>
      <c r="E53" s="9"/>
      <c r="F53" s="6"/>
      <c r="G53" s="7"/>
      <c r="H53" s="7"/>
      <c r="I53" s="7"/>
      <c r="J53" s="7"/>
      <c r="K53" s="7"/>
      <c r="L53" s="7"/>
      <c r="M53" s="6"/>
    </row>
    <row r="54" spans="1:13" x14ac:dyDescent="0.25">
      <c r="A54" s="6"/>
      <c r="B54" s="5"/>
      <c r="C54" s="3"/>
      <c r="D54" s="3"/>
      <c r="E54" s="9"/>
      <c r="F54" s="6"/>
      <c r="G54" s="7"/>
      <c r="H54" s="7"/>
      <c r="I54" s="7"/>
      <c r="J54" s="7"/>
      <c r="K54" s="7"/>
      <c r="L54" s="7"/>
      <c r="M54" s="6"/>
    </row>
    <row r="55" spans="1:13" x14ac:dyDescent="0.25">
      <c r="A55" s="6"/>
      <c r="B55" s="5"/>
      <c r="C55" s="3"/>
      <c r="D55" s="3"/>
      <c r="E55" s="9"/>
      <c r="F55" s="6"/>
      <c r="G55" s="7"/>
      <c r="H55" s="7"/>
      <c r="I55" s="7"/>
      <c r="J55" s="7"/>
      <c r="K55" s="7"/>
      <c r="L55" s="7"/>
      <c r="M55" s="6"/>
    </row>
    <row r="56" spans="1:13" x14ac:dyDescent="0.25">
      <c r="A56" s="6"/>
      <c r="B56" s="5"/>
      <c r="C56" s="3"/>
      <c r="D56" s="3"/>
      <c r="E56" s="9"/>
      <c r="F56" s="6"/>
      <c r="G56" s="7"/>
      <c r="H56" s="7"/>
      <c r="I56" s="7"/>
      <c r="J56" s="7"/>
      <c r="K56" s="7"/>
      <c r="L56" s="7"/>
      <c r="M56" s="6"/>
    </row>
    <row r="57" spans="1:13" x14ac:dyDescent="0.25">
      <c r="A57" s="6"/>
      <c r="B57" s="5"/>
      <c r="C57" s="3"/>
      <c r="D57" s="3"/>
      <c r="E57" s="9"/>
      <c r="F57" s="6"/>
      <c r="G57" s="7"/>
      <c r="H57" s="7"/>
      <c r="I57" s="7"/>
      <c r="J57" s="7"/>
      <c r="K57" s="7"/>
      <c r="L57" s="7"/>
      <c r="M57" s="6"/>
    </row>
    <row r="58" spans="1:13" x14ac:dyDescent="0.25">
      <c r="A58" s="6"/>
      <c r="B58" s="5"/>
      <c r="C58" s="3"/>
      <c r="D58" s="3"/>
      <c r="E58" s="9"/>
      <c r="F58" s="6"/>
      <c r="G58" s="7"/>
      <c r="H58" s="7"/>
      <c r="I58" s="7"/>
      <c r="J58" s="7"/>
      <c r="K58" s="7"/>
      <c r="L58" s="7"/>
      <c r="M58" s="6"/>
    </row>
    <row r="59" spans="1:13" x14ac:dyDescent="0.25">
      <c r="A59" s="6"/>
      <c r="B59" s="5"/>
      <c r="C59" s="3"/>
      <c r="D59" s="3"/>
      <c r="E59" s="9"/>
      <c r="F59" s="6"/>
      <c r="G59" s="7"/>
      <c r="H59" s="7"/>
      <c r="I59" s="7"/>
      <c r="J59" s="7"/>
      <c r="K59" s="7"/>
      <c r="L59" s="7"/>
      <c r="M59" s="6"/>
    </row>
    <row r="60" spans="1:13" x14ac:dyDescent="0.25">
      <c r="A60" s="6"/>
      <c r="B60" s="5"/>
      <c r="C60" s="3"/>
      <c r="D60" s="3"/>
      <c r="E60" s="9"/>
      <c r="F60" s="6"/>
      <c r="G60" s="7"/>
      <c r="H60" s="7"/>
      <c r="I60" s="7"/>
      <c r="J60" s="7"/>
      <c r="K60" s="7"/>
      <c r="L60" s="7"/>
      <c r="M60" s="6"/>
    </row>
    <row r="61" spans="1:13" x14ac:dyDescent="0.25">
      <c r="A61" s="6"/>
      <c r="B61" s="5"/>
      <c r="C61" s="3"/>
      <c r="D61" s="3"/>
      <c r="E61" s="9"/>
      <c r="F61" s="6"/>
      <c r="G61" s="7"/>
      <c r="H61" s="7"/>
      <c r="I61" s="7"/>
      <c r="J61" s="7"/>
      <c r="K61" s="7"/>
      <c r="L61" s="7"/>
      <c r="M61" s="6"/>
    </row>
    <row r="62" spans="1:13" x14ac:dyDescent="0.25">
      <c r="A62" s="6"/>
      <c r="B62" s="5"/>
      <c r="C62" s="3"/>
      <c r="D62" s="3"/>
      <c r="E62" s="9"/>
      <c r="F62" s="6"/>
      <c r="G62" s="7"/>
      <c r="H62" s="7"/>
      <c r="I62" s="7"/>
      <c r="J62" s="7"/>
      <c r="K62" s="7"/>
      <c r="L62" s="7"/>
      <c r="M62" s="6"/>
    </row>
    <row r="63" spans="1:13" x14ac:dyDescent="0.25">
      <c r="A63" s="6"/>
      <c r="B63" s="5"/>
      <c r="C63" s="3"/>
      <c r="D63" s="3"/>
      <c r="E63" s="9"/>
      <c r="F63" s="6"/>
      <c r="G63" s="7"/>
      <c r="H63" s="7"/>
      <c r="I63" s="7"/>
      <c r="J63" s="7"/>
      <c r="K63" s="7"/>
      <c r="L63" s="7"/>
      <c r="M63" s="6"/>
    </row>
    <row r="64" spans="1:13" x14ac:dyDescent="0.25">
      <c r="A64" s="6"/>
      <c r="B64" s="5"/>
      <c r="C64" s="3"/>
      <c r="D64" s="3"/>
      <c r="E64" s="9"/>
      <c r="F64" s="6"/>
      <c r="G64" s="7"/>
      <c r="H64" s="7"/>
      <c r="I64" s="7"/>
      <c r="J64" s="7"/>
      <c r="K64" s="7"/>
      <c r="L64" s="7"/>
      <c r="M64" s="6"/>
    </row>
    <row r="65" spans="1:13" x14ac:dyDescent="0.25">
      <c r="A65" s="6"/>
      <c r="B65" s="5"/>
      <c r="C65" s="3"/>
      <c r="D65" s="3"/>
      <c r="E65" s="9"/>
      <c r="F65" s="6"/>
      <c r="G65" s="7"/>
      <c r="H65" s="7"/>
      <c r="I65" s="7"/>
      <c r="J65" s="7"/>
      <c r="K65" s="7"/>
      <c r="L65" s="7"/>
      <c r="M65" s="6"/>
    </row>
    <row r="66" spans="1:13" x14ac:dyDescent="0.25">
      <c r="A66" s="6"/>
      <c r="B66" s="5"/>
      <c r="C66" s="3"/>
      <c r="D66" s="3"/>
      <c r="E66" s="9"/>
      <c r="F66" s="6"/>
      <c r="G66" s="7"/>
      <c r="H66" s="7"/>
      <c r="I66" s="7"/>
      <c r="J66" s="7"/>
      <c r="K66" s="7"/>
      <c r="L66" s="7"/>
      <c r="M66" s="6"/>
    </row>
    <row r="67" spans="1:13" x14ac:dyDescent="0.25">
      <c r="A67" s="6"/>
      <c r="B67" s="5"/>
      <c r="C67" s="3"/>
      <c r="D67" s="3"/>
      <c r="E67" s="9"/>
      <c r="F67" s="6"/>
      <c r="G67" s="7"/>
      <c r="H67" s="7"/>
      <c r="I67" s="7"/>
      <c r="J67" s="7"/>
      <c r="K67" s="7"/>
      <c r="L67" s="7"/>
      <c r="M67" s="6"/>
    </row>
    <row r="68" spans="1:13" x14ac:dyDescent="0.25">
      <c r="A68" s="6"/>
      <c r="B68" s="5"/>
      <c r="C68" s="3"/>
      <c r="D68" s="3"/>
      <c r="E68" s="9"/>
      <c r="F68" s="6"/>
      <c r="G68" s="7"/>
      <c r="H68" s="7"/>
      <c r="I68" s="7"/>
      <c r="J68" s="7"/>
      <c r="K68" s="7"/>
      <c r="L68" s="7"/>
      <c r="M68" s="6"/>
    </row>
    <row r="69" spans="1:13" x14ac:dyDescent="0.25">
      <c r="A69" s="6"/>
      <c r="B69" s="5"/>
      <c r="C69" s="3"/>
      <c r="D69" s="3"/>
      <c r="E69" s="9"/>
      <c r="F69" s="6"/>
      <c r="G69" s="7"/>
      <c r="H69" s="7"/>
      <c r="I69" s="7"/>
      <c r="J69" s="7"/>
      <c r="K69" s="7"/>
      <c r="L69" s="7"/>
      <c r="M69" s="6"/>
    </row>
    <row r="70" spans="1:13" x14ac:dyDescent="0.25">
      <c r="A70" s="6"/>
      <c r="B70" s="5"/>
      <c r="C70" s="3"/>
      <c r="D70" s="3"/>
      <c r="E70" s="9"/>
      <c r="F70" s="6"/>
      <c r="G70" s="7"/>
      <c r="H70" s="7"/>
      <c r="I70" s="7"/>
      <c r="J70" s="7"/>
      <c r="K70" s="7"/>
      <c r="L70" s="7"/>
      <c r="M70" s="6"/>
    </row>
  </sheetData>
  <sheetProtection selectLockedCells="1"/>
  <mergeCells count="2">
    <mergeCell ref="B1:C2"/>
    <mergeCell ref="G4:L4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ShowNamaDll">
                <anchor moveWithCells="1">
                  <from>
                    <xdr:col>2</xdr:col>
                    <xdr:colOff>400050</xdr:colOff>
                    <xdr:row>1</xdr:row>
                    <xdr:rowOff>95250</xdr:rowOff>
                  </from>
                  <to>
                    <xdr:col>2</xdr:col>
                    <xdr:colOff>1819275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ditTambah">
                <anchor moveWithCells="1" sizeWithCells="1">
                  <from>
                    <xdr:col>0</xdr:col>
                    <xdr:colOff>95250</xdr:colOff>
                    <xdr:row>3</xdr:row>
                    <xdr:rowOff>28575</xdr:rowOff>
                  </from>
                  <to>
                    <xdr:col>0</xdr:col>
                    <xdr:colOff>857250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ampilForm">
                <anchor moveWithCells="1" sizeWithCells="1">
                  <from>
                    <xdr:col>0</xdr:col>
                    <xdr:colOff>95250</xdr:colOff>
                    <xdr:row>6</xdr:row>
                    <xdr:rowOff>142875</xdr:rowOff>
                  </from>
                  <to>
                    <xdr:col>0</xdr:col>
                    <xdr:colOff>857250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HapusData">
                <anchor moveWithCells="1" sizeWithCells="1">
                  <from>
                    <xdr:col>0</xdr:col>
                    <xdr:colOff>95250</xdr:colOff>
                    <xdr:row>4</xdr:row>
                    <xdr:rowOff>180975</xdr:rowOff>
                  </from>
                  <to>
                    <xdr:col>0</xdr:col>
                    <xdr:colOff>857250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8"/>
  <sheetViews>
    <sheetView showGridLines="0" showRowColHeaders="0" tabSelected="1" workbookViewId="0">
      <selection activeCell="A22" sqref="A22"/>
    </sheetView>
  </sheetViews>
  <sheetFormatPr defaultRowHeight="15" x14ac:dyDescent="0.25"/>
  <cols>
    <col min="1" max="1" width="180.85546875" customWidth="1"/>
  </cols>
  <sheetData>
    <row r="1" spans="1:1" x14ac:dyDescent="0.25">
      <c r="A1" s="43"/>
    </row>
    <row r="2" spans="1:1" ht="18.75" x14ac:dyDescent="0.3">
      <c r="A2" s="44" t="s">
        <v>79</v>
      </c>
    </row>
    <row r="3" spans="1:1" x14ac:dyDescent="0.25">
      <c r="A3" s="43" t="s">
        <v>80</v>
      </c>
    </row>
    <row r="4" spans="1:1" x14ac:dyDescent="0.25">
      <c r="A4" s="45" t="s">
        <v>81</v>
      </c>
    </row>
    <row r="5" spans="1:1" ht="18.75" x14ac:dyDescent="0.3">
      <c r="A5" s="44" t="s">
        <v>83</v>
      </c>
    </row>
    <row r="6" spans="1:1" x14ac:dyDescent="0.25">
      <c r="A6" s="43"/>
    </row>
    <row r="7" spans="1:1" x14ac:dyDescent="0.25">
      <c r="A7" s="45" t="s">
        <v>82</v>
      </c>
    </row>
    <row r="8" spans="1:1" ht="21" x14ac:dyDescent="0.35">
      <c r="A8" s="46" t="s">
        <v>84</v>
      </c>
    </row>
    <row r="9" spans="1:1" x14ac:dyDescent="0.25">
      <c r="A9" s="42"/>
    </row>
    <row r="10" spans="1:1" x14ac:dyDescent="0.25">
      <c r="A10" s="42"/>
    </row>
    <row r="14" spans="1:1" x14ac:dyDescent="0.25">
      <c r="A14" s="40"/>
    </row>
    <row r="18" spans="1:1" x14ac:dyDescent="0.25">
      <c r="A18" s="41"/>
    </row>
  </sheetData>
  <sheetProtection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showGridLines="0" showRowColHeaders="0" zoomScaleNormal="100" workbookViewId="0">
      <selection activeCell="G18" sqref="G18"/>
    </sheetView>
  </sheetViews>
  <sheetFormatPr defaultRowHeight="15" x14ac:dyDescent="0.25"/>
  <cols>
    <col min="1" max="1" width="14.140625" customWidth="1"/>
    <col min="2" max="2" width="12.7109375" customWidth="1"/>
    <col min="3" max="3" width="5.5703125" customWidth="1"/>
    <col min="4" max="4" width="2.5703125" customWidth="1"/>
    <col min="5" max="5" width="12.28515625" customWidth="1"/>
    <col min="6" max="6" width="5.85546875" customWidth="1"/>
    <col min="7" max="7" width="11.140625" bestFit="1" customWidth="1"/>
    <col min="8" max="8" width="4.85546875" customWidth="1"/>
    <col min="9" max="9" width="2.5703125" customWidth="1"/>
    <col min="10" max="10" width="14.28515625" customWidth="1"/>
    <col min="11" max="11" width="11.7109375" customWidth="1"/>
  </cols>
  <sheetData>
    <row r="1" spans="1:12" ht="44.25" customHeight="1" x14ac:dyDescent="0.25">
      <c r="A1" s="32">
        <f ca="1">COUNTA(INDIRECT("Tabel!B2:B30000"))</f>
        <v>2</v>
      </c>
      <c r="B1" s="30" t="s">
        <v>55</v>
      </c>
      <c r="C1" s="29"/>
      <c r="D1" s="29"/>
      <c r="E1" s="29"/>
      <c r="F1" s="31" t="s">
        <v>77</v>
      </c>
      <c r="G1" s="29"/>
      <c r="H1" s="29"/>
      <c r="I1" s="29"/>
      <c r="J1" s="29"/>
      <c r="K1" s="32">
        <v>1</v>
      </c>
    </row>
    <row r="2" spans="1:12" x14ac:dyDescent="0.25">
      <c r="A2" s="32"/>
      <c r="B2" s="18" t="s">
        <v>39</v>
      </c>
      <c r="C2" s="19"/>
      <c r="D2" s="19"/>
      <c r="E2" s="19"/>
      <c r="F2" s="19"/>
      <c r="G2" s="19"/>
      <c r="H2" s="19"/>
      <c r="I2" s="19"/>
      <c r="J2" s="19"/>
      <c r="K2" s="29"/>
    </row>
    <row r="3" spans="1:12" x14ac:dyDescent="0.25">
      <c r="A3" s="32"/>
      <c r="K3" s="29"/>
    </row>
    <row r="4" spans="1:12" x14ac:dyDescent="0.25">
      <c r="A4" s="32">
        <f ca="1">OFFSET(L15,K1-1,0)</f>
        <v>1</v>
      </c>
      <c r="B4" t="s">
        <v>5</v>
      </c>
      <c r="D4" t="s">
        <v>54</v>
      </c>
      <c r="E4" s="35" t="s">
        <v>0</v>
      </c>
      <c r="K4" s="29"/>
    </row>
    <row r="5" spans="1:12" x14ac:dyDescent="0.25">
      <c r="A5" s="32">
        <v>-1</v>
      </c>
      <c r="B5" t="s">
        <v>38</v>
      </c>
      <c r="D5" t="s">
        <v>54</v>
      </c>
      <c r="E5" s="35" t="str">
        <f ca="1">OFFSET(A14,K1,0)</f>
        <v>Ahmad</v>
      </c>
      <c r="K5" s="29"/>
    </row>
    <row r="6" spans="1:12" x14ac:dyDescent="0.25">
      <c r="A6" s="32" t="s">
        <v>35</v>
      </c>
      <c r="B6" t="s">
        <v>23</v>
      </c>
      <c r="D6" t="s">
        <v>54</v>
      </c>
      <c r="E6" s="36">
        <f ca="1">OFFSET(L14,K1,0)</f>
        <v>1</v>
      </c>
      <c r="K6" s="29"/>
    </row>
    <row r="7" spans="1:12" x14ac:dyDescent="0.25">
      <c r="A7" s="32">
        <f ca="1">MATCH(A4,INDIRECT("Tabel!C2:C40000"),0)</f>
        <v>1</v>
      </c>
      <c r="K7" s="29"/>
    </row>
    <row r="8" spans="1:12" x14ac:dyDescent="0.25">
      <c r="A8" s="32"/>
      <c r="B8" t="s">
        <v>46</v>
      </c>
      <c r="G8" t="s">
        <v>47</v>
      </c>
      <c r="K8" s="29"/>
    </row>
    <row r="9" spans="1:12" x14ac:dyDescent="0.25">
      <c r="A9" s="32"/>
      <c r="B9" t="s">
        <v>40</v>
      </c>
      <c r="C9" t="str">
        <f>LEFT(Kelas!B$5,4)</f>
        <v>2011</v>
      </c>
      <c r="D9" t="s">
        <v>54</v>
      </c>
      <c r="E9" s="28">
        <v>0</v>
      </c>
      <c r="F9" s="34">
        <f ca="1">OFFSET(Tabel!$A$1,$A$7,ROW()-5)</f>
        <v>0</v>
      </c>
      <c r="G9" t="s">
        <v>48</v>
      </c>
      <c r="H9" t="str">
        <f>RIGHT(Kelas!B$5,4)</f>
        <v>2012</v>
      </c>
      <c r="I9" t="s">
        <v>54</v>
      </c>
      <c r="J9">
        <v>0</v>
      </c>
      <c r="K9" s="32">
        <f ca="1">OFFSET(Tabel!$A$1,$A$7,ROW()+1)</f>
        <v>0</v>
      </c>
    </row>
    <row r="10" spans="1:12" x14ac:dyDescent="0.25">
      <c r="A10" s="32"/>
      <c r="B10" t="s">
        <v>41</v>
      </c>
      <c r="C10" t="str">
        <f>LEFT(Kelas!B$5,4)</f>
        <v>2011</v>
      </c>
      <c r="D10" t="s">
        <v>54</v>
      </c>
      <c r="E10" s="28">
        <v>0</v>
      </c>
      <c r="F10" s="34">
        <f ca="1">OFFSET(Tabel!$A$1,$A$7,ROW()-5)</f>
        <v>0</v>
      </c>
      <c r="G10" t="s">
        <v>49</v>
      </c>
      <c r="H10" t="str">
        <f>RIGHT(Kelas!B$5,4)</f>
        <v>2012</v>
      </c>
      <c r="I10" t="s">
        <v>54</v>
      </c>
      <c r="J10" s="28">
        <v>0</v>
      </c>
      <c r="K10" s="32">
        <f ca="1">OFFSET(Tabel!$A$1,$A$7,ROW()+1)</f>
        <v>0</v>
      </c>
    </row>
    <row r="11" spans="1:12" x14ac:dyDescent="0.25">
      <c r="A11" s="33"/>
      <c r="B11" t="s">
        <v>42</v>
      </c>
      <c r="C11" t="str">
        <f>LEFT(Kelas!B$5,4)</f>
        <v>2011</v>
      </c>
      <c r="D11" t="s">
        <v>54</v>
      </c>
      <c r="E11" s="28">
        <v>0</v>
      </c>
      <c r="F11" s="34">
        <f ca="1">OFFSET(Tabel!$A$1,$A$7,ROW()-5)</f>
        <v>0</v>
      </c>
      <c r="G11" t="s">
        <v>50</v>
      </c>
      <c r="H11" t="str">
        <f>RIGHT(Kelas!B$5,4)</f>
        <v>2012</v>
      </c>
      <c r="I11" t="s">
        <v>54</v>
      </c>
      <c r="J11" s="28">
        <v>0</v>
      </c>
      <c r="K11" s="32">
        <f ca="1">OFFSET(Tabel!$A$1,$A$7,ROW()+1)</f>
        <v>0</v>
      </c>
    </row>
    <row r="12" spans="1:12" x14ac:dyDescent="0.25">
      <c r="A12" s="47"/>
      <c r="B12" t="s">
        <v>43</v>
      </c>
      <c r="C12" t="str">
        <f>LEFT(Kelas!B$5,4)</f>
        <v>2011</v>
      </c>
      <c r="D12" t="s">
        <v>54</v>
      </c>
      <c r="E12" s="28">
        <v>0</v>
      </c>
      <c r="F12" s="34">
        <f ca="1">OFFSET(Tabel!$A$1,$A$7,ROW()-5)</f>
        <v>0</v>
      </c>
      <c r="G12" t="s">
        <v>51</v>
      </c>
      <c r="H12" t="str">
        <f>RIGHT(Kelas!B$5,4)</f>
        <v>2012</v>
      </c>
      <c r="I12" t="s">
        <v>54</v>
      </c>
      <c r="J12" s="28">
        <v>0</v>
      </c>
      <c r="K12" s="32">
        <f ca="1">OFFSET(Tabel!$A$1,$A$7,ROW()+1)</f>
        <v>0</v>
      </c>
      <c r="L12" s="34"/>
    </row>
    <row r="13" spans="1:12" x14ac:dyDescent="0.25">
      <c r="A13" s="47"/>
      <c r="B13" t="s">
        <v>44</v>
      </c>
      <c r="C13" t="str">
        <f>LEFT(Kelas!B$5,4)</f>
        <v>2011</v>
      </c>
      <c r="D13" t="s">
        <v>54</v>
      </c>
      <c r="E13" s="28">
        <v>0</v>
      </c>
      <c r="F13" s="34">
        <f ca="1">OFFSET(Tabel!$A$1,$A$7,ROW()-5)</f>
        <v>0</v>
      </c>
      <c r="G13" t="s">
        <v>52</v>
      </c>
      <c r="H13" t="str">
        <f>RIGHT(Kelas!B$5,4)</f>
        <v>2012</v>
      </c>
      <c r="I13" t="s">
        <v>54</v>
      </c>
      <c r="J13" s="28">
        <v>0</v>
      </c>
      <c r="K13" s="32">
        <f ca="1">OFFSET(Tabel!$A$1,$A$7,ROW()+1)</f>
        <v>0</v>
      </c>
      <c r="L13" s="34"/>
    </row>
    <row r="14" spans="1:12" x14ac:dyDescent="0.25">
      <c r="A14" s="47"/>
      <c r="B14" t="s">
        <v>45</v>
      </c>
      <c r="C14" t="str">
        <f>LEFT(Kelas!B$5,4)</f>
        <v>2011</v>
      </c>
      <c r="D14" t="s">
        <v>54</v>
      </c>
      <c r="E14" s="28">
        <v>0</v>
      </c>
      <c r="F14" s="34">
        <f ca="1">OFFSET(Tabel!$A$1,$A$7,ROW()-5)</f>
        <v>0</v>
      </c>
      <c r="G14" t="s">
        <v>53</v>
      </c>
      <c r="H14" t="str">
        <f>RIGHT(Kelas!B$5,4)</f>
        <v>2012</v>
      </c>
      <c r="I14" t="s">
        <v>54</v>
      </c>
      <c r="J14" s="28">
        <v>0</v>
      </c>
      <c r="K14" s="32">
        <f ca="1">OFFSET(Tabel!$A$1,$A$7,ROW()+1)</f>
        <v>0</v>
      </c>
      <c r="L14" s="34"/>
    </row>
    <row r="15" spans="1:12" x14ac:dyDescent="0.25">
      <c r="A15" s="33" t="s">
        <v>86</v>
      </c>
      <c r="F15" s="34"/>
      <c r="K15" s="32"/>
      <c r="L15" s="34">
        <v>1</v>
      </c>
    </row>
    <row r="16" spans="1:12" x14ac:dyDescent="0.25">
      <c r="A16" s="33" t="s">
        <v>87</v>
      </c>
      <c r="E16" t="s">
        <v>76</v>
      </c>
      <c r="G16" s="55">
        <f ca="1">TODAY()</f>
        <v>41010</v>
      </c>
      <c r="H16" s="55"/>
      <c r="K16" s="29"/>
      <c r="L16" s="34">
        <v>2</v>
      </c>
    </row>
    <row r="17" spans="1:12" x14ac:dyDescent="0.25">
      <c r="A17" s="33"/>
      <c r="K17" s="29"/>
      <c r="L17" s="34"/>
    </row>
    <row r="18" spans="1:12" x14ac:dyDescent="0.25">
      <c r="A18" s="33"/>
      <c r="K18" s="29"/>
      <c r="L18" s="34"/>
    </row>
    <row r="19" spans="1:12" x14ac:dyDescent="0.25">
      <c r="A19" s="33"/>
      <c r="K19" s="29"/>
      <c r="L19" s="34"/>
    </row>
    <row r="20" spans="1:12" x14ac:dyDescent="0.25">
      <c r="A20" s="33"/>
      <c r="K20" s="29"/>
      <c r="L20" s="34"/>
    </row>
    <row r="21" spans="1:12" x14ac:dyDescent="0.25">
      <c r="A21" s="51"/>
      <c r="F21" s="27"/>
      <c r="K21" s="29"/>
      <c r="L21" s="34"/>
    </row>
    <row r="22" spans="1:12" x14ac:dyDescent="0.25">
      <c r="A22" s="51"/>
      <c r="K22" s="29"/>
      <c r="L22" s="34"/>
    </row>
    <row r="23" spans="1:12" x14ac:dyDescent="0.25">
      <c r="A23" s="51"/>
      <c r="K23" s="29"/>
    </row>
    <row r="24" spans="1:12" x14ac:dyDescent="0.25">
      <c r="A24" s="51"/>
      <c r="B24" s="29"/>
      <c r="C24" s="29"/>
      <c r="D24" s="29"/>
      <c r="E24" s="29"/>
      <c r="F24" s="29"/>
      <c r="G24" s="29"/>
      <c r="H24" s="29"/>
      <c r="I24" s="29"/>
      <c r="J24" s="29"/>
      <c r="K24" s="29"/>
    </row>
    <row r="25" spans="1:12" x14ac:dyDescent="0.25">
      <c r="A25" s="52"/>
    </row>
  </sheetData>
  <mergeCells count="1">
    <mergeCell ref="G16:H1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autoLine="0" listFillRange="DaftarKelas" r:id="rId5">
            <anchor moveWithCells="1">
              <from>
                <xdr:col>2</xdr:col>
                <xdr:colOff>66675</xdr:colOff>
                <xdr:row>0</xdr:row>
                <xdr:rowOff>142875</xdr:rowOff>
              </from>
              <to>
                <xdr:col>4</xdr:col>
                <xdr:colOff>657225</xdr:colOff>
                <xdr:row>0</xdr:row>
                <xdr:rowOff>419100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5" r:id="rId6" name="CommandButton1">
          <controlPr defaultSize="0" autoLine="0" r:id="rId7">
            <anchor moveWithCells="1">
              <from>
                <xdr:col>10</xdr:col>
                <xdr:colOff>28575</xdr:colOff>
                <xdr:row>0</xdr:row>
                <xdr:rowOff>114300</xdr:rowOff>
              </from>
              <to>
                <xdr:col>10</xdr:col>
                <xdr:colOff>561975</xdr:colOff>
                <xdr:row>0</xdr:row>
                <xdr:rowOff>504825</xdr:rowOff>
              </to>
            </anchor>
          </controlPr>
        </control>
      </mc:Choice>
      <mc:Fallback>
        <control shapeId="5125" r:id="rId6" name="CommandButton1"/>
      </mc:Fallback>
    </mc:AlternateContent>
    <mc:AlternateContent xmlns:mc="http://schemas.openxmlformats.org/markup-compatibility/2006">
      <mc:Choice Requires="x14">
        <control shapeId="5121" r:id="rId8" name="Button 1">
          <controlPr defaultSize="0" print="0" autoFill="0" autoPict="0" macro="[0]!TampilForm">
            <anchor moveWithCells="1" sizeWithCells="1">
              <from>
                <xdr:col>0</xdr:col>
                <xdr:colOff>152400</xdr:colOff>
                <xdr:row>7</xdr:row>
                <xdr:rowOff>152400</xdr:rowOff>
              </from>
              <to>
                <xdr:col>0</xdr:col>
                <xdr:colOff>790575</xdr:colOff>
                <xdr:row>12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9" name="DP">
          <controlPr defaultSize="0" autoLine="0" autoPict="0">
            <anchor moveWithCells="1">
              <from>
                <xdr:col>6</xdr:col>
                <xdr:colOff>428625</xdr:colOff>
                <xdr:row>0</xdr:row>
                <xdr:rowOff>142875</xdr:rowOff>
              </from>
              <to>
                <xdr:col>9</xdr:col>
                <xdr:colOff>742950</xdr:colOff>
                <xdr:row>0</xdr:row>
                <xdr:rowOff>409575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70"/>
  <sheetViews>
    <sheetView workbookViewId="0">
      <selection activeCell="D12" sqref="D12"/>
    </sheetView>
  </sheetViews>
  <sheetFormatPr defaultColWidth="0" defaultRowHeight="15" x14ac:dyDescent="0.25"/>
  <cols>
    <col min="1" max="1" width="4.28515625" customWidth="1"/>
    <col min="2" max="2" width="5.42578125" customWidth="1"/>
    <col min="3" max="3" width="18.85546875" customWidth="1"/>
    <col min="4" max="5" width="9.140625" customWidth="1"/>
    <col min="6" max="17" width="9.28515625" customWidth="1"/>
    <col min="18" max="18" width="4.7109375" customWidth="1"/>
    <col min="19" max="16384" width="9.140625" hidden="1"/>
  </cols>
  <sheetData>
    <row r="1" spans="1:18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ht="15.75" x14ac:dyDescent="0.25">
      <c r="A2" s="29"/>
      <c r="B2" s="48" t="s">
        <v>85</v>
      </c>
      <c r="C2" s="29"/>
      <c r="D2" s="50" t="s">
        <v>0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18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18" x14ac:dyDescent="0.25">
      <c r="A4" s="29"/>
      <c r="B4" s="16" t="s">
        <v>3</v>
      </c>
      <c r="C4" s="16" t="s">
        <v>31</v>
      </c>
      <c r="D4" s="16" t="s">
        <v>23</v>
      </c>
      <c r="E4" s="16" t="s">
        <v>5</v>
      </c>
      <c r="F4" s="16" t="s">
        <v>40</v>
      </c>
      <c r="G4" s="16" t="s">
        <v>56</v>
      </c>
      <c r="H4" s="16" t="s">
        <v>57</v>
      </c>
      <c r="I4" s="16" t="s">
        <v>60</v>
      </c>
      <c r="J4" s="16" t="s">
        <v>58</v>
      </c>
      <c r="K4" s="16" t="s">
        <v>59</v>
      </c>
      <c r="L4" s="16" t="s">
        <v>61</v>
      </c>
      <c r="M4" s="16" t="s">
        <v>62</v>
      </c>
      <c r="N4" s="16" t="s">
        <v>63</v>
      </c>
      <c r="O4" s="16" t="s">
        <v>64</v>
      </c>
      <c r="P4" s="16" t="s">
        <v>52</v>
      </c>
      <c r="Q4" s="16" t="s">
        <v>65</v>
      </c>
      <c r="R4" s="29"/>
    </row>
    <row r="5" spans="1:18" x14ac:dyDescent="0.25">
      <c r="A5" s="29"/>
      <c r="B5" s="3">
        <v>1</v>
      </c>
      <c r="C5" s="3" t="s">
        <v>86</v>
      </c>
      <c r="D5" s="3">
        <v>1</v>
      </c>
      <c r="E5" s="3" t="s">
        <v>0</v>
      </c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29"/>
    </row>
    <row r="6" spans="1:18" x14ac:dyDescent="0.25">
      <c r="A6" s="29"/>
      <c r="B6" s="3">
        <v>2</v>
      </c>
      <c r="C6" s="3" t="s">
        <v>87</v>
      </c>
      <c r="D6" s="3">
        <v>2</v>
      </c>
      <c r="E6" s="3" t="s">
        <v>0</v>
      </c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29"/>
    </row>
    <row r="7" spans="1:18" x14ac:dyDescent="0.25">
      <c r="A7" s="29"/>
      <c r="B7" s="3"/>
      <c r="C7" s="3"/>
      <c r="D7" s="3"/>
      <c r="E7" s="3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29"/>
    </row>
    <row r="8" spans="1:18" x14ac:dyDescent="0.25">
      <c r="A8" s="29"/>
      <c r="B8" s="3"/>
      <c r="C8" s="3"/>
      <c r="D8" s="3"/>
      <c r="E8" s="3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29"/>
    </row>
    <row r="9" spans="1:18" x14ac:dyDescent="0.25">
      <c r="A9" s="29"/>
      <c r="B9" s="3"/>
      <c r="C9" s="3"/>
      <c r="D9" s="3"/>
      <c r="E9" s="3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29"/>
    </row>
    <row r="10" spans="1:18" x14ac:dyDescent="0.25">
      <c r="A10" s="29"/>
      <c r="B10" s="3"/>
      <c r="C10" s="3"/>
      <c r="D10" s="3"/>
      <c r="E10" s="3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29"/>
    </row>
    <row r="11" spans="1:18" x14ac:dyDescent="0.25">
      <c r="A11" s="29"/>
      <c r="B11" s="3"/>
      <c r="C11" s="3"/>
      <c r="D11" s="3"/>
      <c r="E11" s="3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29"/>
    </row>
    <row r="12" spans="1:18" x14ac:dyDescent="0.25">
      <c r="A12" s="29"/>
      <c r="B12" s="3"/>
      <c r="C12" s="3"/>
      <c r="D12" s="3"/>
      <c r="E12" s="3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29"/>
    </row>
    <row r="13" spans="1:18" x14ac:dyDescent="0.25">
      <c r="A13" s="29"/>
      <c r="B13" s="3"/>
      <c r="C13" s="3"/>
      <c r="D13" s="3"/>
      <c r="E13" s="3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29"/>
    </row>
    <row r="14" spans="1:18" x14ac:dyDescent="0.25">
      <c r="A14" s="29"/>
      <c r="B14" s="3"/>
      <c r="C14" s="3"/>
      <c r="D14" s="3"/>
      <c r="E14" s="3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29"/>
    </row>
    <row r="15" spans="1:18" x14ac:dyDescent="0.25">
      <c r="A15" s="29"/>
      <c r="B15" s="3"/>
      <c r="C15" s="3"/>
      <c r="D15" s="3"/>
      <c r="E15" s="3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29"/>
    </row>
    <row r="16" spans="1:18" x14ac:dyDescent="0.25">
      <c r="A16" s="29"/>
      <c r="B16" s="3"/>
      <c r="C16" s="3"/>
      <c r="D16" s="3"/>
      <c r="E16" s="3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29"/>
    </row>
    <row r="17" spans="1:18" x14ac:dyDescent="0.25">
      <c r="A17" s="29"/>
      <c r="B17" s="3"/>
      <c r="C17" s="3"/>
      <c r="D17" s="3"/>
      <c r="E17" s="3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29"/>
    </row>
    <row r="18" spans="1:18" x14ac:dyDescent="0.25">
      <c r="A18" s="29"/>
      <c r="B18" s="3"/>
      <c r="C18" s="3"/>
      <c r="D18" s="3"/>
      <c r="E18" s="3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29"/>
    </row>
    <row r="19" spans="1:18" x14ac:dyDescent="0.25">
      <c r="A19" s="29"/>
      <c r="B19" s="3"/>
      <c r="C19" s="3"/>
      <c r="D19" s="3"/>
      <c r="E19" s="3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29"/>
    </row>
    <row r="20" spans="1:18" x14ac:dyDescent="0.25">
      <c r="A20" s="29"/>
      <c r="B20" s="3"/>
      <c r="C20" s="3"/>
      <c r="D20" s="3"/>
      <c r="E20" s="3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29"/>
    </row>
    <row r="21" spans="1:18" x14ac:dyDescent="0.25">
      <c r="A21" s="29"/>
      <c r="B21" s="3"/>
      <c r="C21" s="3"/>
      <c r="D21" s="3"/>
      <c r="E21" s="3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29"/>
    </row>
    <row r="22" spans="1:18" x14ac:dyDescent="0.25">
      <c r="A22" s="29"/>
      <c r="B22" s="3"/>
      <c r="C22" s="3"/>
      <c r="D22" s="3"/>
      <c r="E22" s="3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29"/>
    </row>
    <row r="23" spans="1:18" x14ac:dyDescent="0.25">
      <c r="A23" s="29"/>
      <c r="B23" s="3"/>
      <c r="C23" s="3"/>
      <c r="D23" s="3"/>
      <c r="E23" s="3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29"/>
    </row>
    <row r="24" spans="1:18" x14ac:dyDescent="0.25">
      <c r="A24" s="29"/>
      <c r="B24" s="3"/>
      <c r="C24" s="3"/>
      <c r="D24" s="3"/>
      <c r="E24" s="3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29"/>
    </row>
    <row r="25" spans="1:18" x14ac:dyDescent="0.25">
      <c r="A25" s="29"/>
      <c r="B25" s="3"/>
      <c r="C25" s="3"/>
      <c r="D25" s="3"/>
      <c r="E25" s="3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29"/>
    </row>
    <row r="26" spans="1:18" x14ac:dyDescent="0.25">
      <c r="A26" s="29"/>
      <c r="B26" s="3"/>
      <c r="C26" s="3"/>
      <c r="D26" s="3"/>
      <c r="E26" s="3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29"/>
    </row>
    <row r="27" spans="1:18" x14ac:dyDescent="0.25">
      <c r="A27" s="29"/>
      <c r="B27" s="3"/>
      <c r="C27" s="3"/>
      <c r="D27" s="3"/>
      <c r="E27" s="3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29"/>
    </row>
    <row r="28" spans="1:18" x14ac:dyDescent="0.25">
      <c r="A28" s="29"/>
      <c r="B28" s="3"/>
      <c r="C28" s="3"/>
      <c r="D28" s="3"/>
      <c r="E28" s="3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29"/>
    </row>
    <row r="29" spans="1:18" x14ac:dyDescent="0.25">
      <c r="A29" s="29"/>
      <c r="B29" s="3"/>
      <c r="C29" s="3"/>
      <c r="D29" s="3"/>
      <c r="E29" s="3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29"/>
    </row>
    <row r="30" spans="1:18" x14ac:dyDescent="0.25">
      <c r="A30" s="29"/>
      <c r="B30" s="3"/>
      <c r="C30" s="3"/>
      <c r="D30" s="3"/>
      <c r="E30" s="3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29"/>
    </row>
    <row r="31" spans="1:18" x14ac:dyDescent="0.25">
      <c r="A31" s="29"/>
      <c r="B31" s="3"/>
      <c r="C31" s="3"/>
      <c r="D31" s="3"/>
      <c r="E31" s="3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29"/>
    </row>
    <row r="32" spans="1:18" x14ac:dyDescent="0.25">
      <c r="A32" s="29"/>
      <c r="B32" s="3"/>
      <c r="C32" s="3"/>
      <c r="D32" s="3"/>
      <c r="E32" s="3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29"/>
    </row>
    <row r="33" spans="1:18" x14ac:dyDescent="0.25">
      <c r="A33" s="29"/>
      <c r="B33" s="3"/>
      <c r="C33" s="3"/>
      <c r="D33" s="3"/>
      <c r="E33" s="3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29"/>
    </row>
    <row r="34" spans="1:18" x14ac:dyDescent="0.25">
      <c r="A34" s="29"/>
      <c r="B34" s="3"/>
      <c r="C34" s="3"/>
      <c r="D34" s="3"/>
      <c r="E34" s="3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29"/>
    </row>
    <row r="35" spans="1:18" x14ac:dyDescent="0.25">
      <c r="A35" s="29"/>
      <c r="B35" s="3"/>
      <c r="C35" s="3"/>
      <c r="D35" s="3"/>
      <c r="E35" s="3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29"/>
    </row>
    <row r="36" spans="1:18" x14ac:dyDescent="0.25">
      <c r="A36" s="29"/>
      <c r="B36" s="3"/>
      <c r="C36" s="3"/>
      <c r="D36" s="3"/>
      <c r="E36" s="3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29"/>
    </row>
    <row r="37" spans="1:18" x14ac:dyDescent="0.25">
      <c r="A37" s="29"/>
      <c r="B37" s="3"/>
      <c r="C37" s="3"/>
      <c r="D37" s="3"/>
      <c r="E37" s="3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29"/>
    </row>
    <row r="38" spans="1:18" x14ac:dyDescent="0.25">
      <c r="A38" s="29"/>
      <c r="B38" s="3"/>
      <c r="C38" s="3"/>
      <c r="D38" s="3"/>
      <c r="E38" s="3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29"/>
    </row>
    <row r="39" spans="1:18" x14ac:dyDescent="0.25">
      <c r="A39" s="29"/>
      <c r="B39" s="3"/>
      <c r="C39" s="3"/>
      <c r="D39" s="3"/>
      <c r="E39" s="3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29"/>
    </row>
    <row r="40" spans="1:18" x14ac:dyDescent="0.25">
      <c r="A40" s="29"/>
      <c r="B40" s="3"/>
      <c r="C40" s="3"/>
      <c r="D40" s="3"/>
      <c r="E40" s="3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29"/>
    </row>
    <row r="41" spans="1:18" x14ac:dyDescent="0.25">
      <c r="A41" s="29"/>
      <c r="B41" s="3"/>
      <c r="C41" s="3"/>
      <c r="D41" s="3"/>
      <c r="E41" s="3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29"/>
    </row>
    <row r="42" spans="1:18" x14ac:dyDescent="0.25">
      <c r="A42" s="29"/>
      <c r="B42" s="3"/>
      <c r="C42" s="3"/>
      <c r="D42" s="3"/>
      <c r="E42" s="3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29"/>
    </row>
    <row r="43" spans="1:18" x14ac:dyDescent="0.25">
      <c r="A43" s="29"/>
      <c r="B43" s="3"/>
      <c r="C43" s="3"/>
      <c r="D43" s="3"/>
      <c r="E43" s="3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29"/>
    </row>
    <row r="44" spans="1:18" x14ac:dyDescent="0.25">
      <c r="A44" s="29"/>
      <c r="B44" s="3"/>
      <c r="C44" s="3"/>
      <c r="D44" s="3"/>
      <c r="E44" s="3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29"/>
    </row>
    <row r="45" spans="1:18" x14ac:dyDescent="0.25">
      <c r="B45" s="3"/>
      <c r="C45" s="3"/>
      <c r="D45" s="3"/>
      <c r="E45" s="3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29"/>
    </row>
    <row r="46" spans="1:18" x14ac:dyDescent="0.25">
      <c r="B46" s="3"/>
      <c r="C46" s="3"/>
      <c r="D46" s="3"/>
      <c r="E46" s="3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</row>
    <row r="47" spans="1:18" x14ac:dyDescent="0.25">
      <c r="B47" s="3"/>
      <c r="C47" s="3"/>
      <c r="D47" s="3"/>
      <c r="E47" s="3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</row>
    <row r="48" spans="1:18" x14ac:dyDescent="0.25">
      <c r="B48" s="3"/>
      <c r="C48" s="3"/>
      <c r="D48" s="3"/>
      <c r="E48" s="3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</row>
    <row r="49" spans="2:17" x14ac:dyDescent="0.25">
      <c r="B49" s="3"/>
      <c r="C49" s="3"/>
      <c r="D49" s="3"/>
      <c r="E49" s="3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</row>
    <row r="50" spans="2:17" x14ac:dyDescent="0.25">
      <c r="B50" s="3"/>
      <c r="C50" s="3"/>
      <c r="D50" s="3"/>
      <c r="E50" s="3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</row>
    <row r="51" spans="2:17" x14ac:dyDescent="0.25">
      <c r="B51" s="3"/>
      <c r="C51" s="3"/>
      <c r="D51" s="3"/>
      <c r="E51" s="3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</row>
    <row r="52" spans="2:17" x14ac:dyDescent="0.25">
      <c r="B52" s="3"/>
      <c r="C52" s="3"/>
      <c r="D52" s="3"/>
      <c r="E52" s="3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</row>
    <row r="53" spans="2:17" x14ac:dyDescent="0.25">
      <c r="B53" s="3"/>
      <c r="C53" s="3"/>
      <c r="D53" s="3"/>
      <c r="E53" s="3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</row>
    <row r="54" spans="2:17" x14ac:dyDescent="0.25">
      <c r="B54" s="3"/>
      <c r="C54" s="3"/>
      <c r="D54" s="3"/>
      <c r="E54" s="3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</row>
    <row r="55" spans="2:17" x14ac:dyDescent="0.25">
      <c r="B55" s="3"/>
      <c r="C55" s="3"/>
      <c r="D55" s="3"/>
      <c r="E55" s="3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</row>
    <row r="56" spans="2:17" x14ac:dyDescent="0.25">
      <c r="B56" s="3"/>
      <c r="C56" s="3"/>
      <c r="D56" s="3"/>
      <c r="E56" s="3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</row>
    <row r="57" spans="2:17" x14ac:dyDescent="0.25">
      <c r="B57" s="3"/>
      <c r="C57" s="3"/>
      <c r="D57" s="3"/>
      <c r="E57" s="3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</row>
    <row r="58" spans="2:17" x14ac:dyDescent="0.25">
      <c r="B58" s="3"/>
      <c r="C58" s="3"/>
      <c r="D58" s="3"/>
      <c r="E58" s="3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</row>
    <row r="59" spans="2:17" x14ac:dyDescent="0.25">
      <c r="B59" s="3"/>
      <c r="C59" s="3"/>
      <c r="D59" s="3"/>
      <c r="E59" s="3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</row>
    <row r="60" spans="2:17" x14ac:dyDescent="0.25">
      <c r="B60" s="3"/>
      <c r="C60" s="3"/>
      <c r="D60" s="3"/>
      <c r="E60" s="3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</row>
    <row r="61" spans="2:17" x14ac:dyDescent="0.25">
      <c r="B61" s="3"/>
      <c r="C61" s="3"/>
      <c r="D61" s="3"/>
      <c r="E61" s="3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</row>
    <row r="62" spans="2:17" x14ac:dyDescent="0.25">
      <c r="B62" s="3"/>
      <c r="C62" s="3"/>
      <c r="D62" s="3"/>
      <c r="E62" s="3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</row>
    <row r="63" spans="2:17" x14ac:dyDescent="0.25">
      <c r="B63" s="3"/>
      <c r="C63" s="3"/>
      <c r="D63" s="3"/>
      <c r="E63" s="3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</row>
    <row r="64" spans="2:17" x14ac:dyDescent="0.25">
      <c r="B64" s="3"/>
      <c r="C64" s="3"/>
      <c r="D64" s="3"/>
      <c r="E64" s="3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</row>
    <row r="65" spans="2:17" x14ac:dyDescent="0.25">
      <c r="B65" s="3"/>
      <c r="C65" s="3"/>
      <c r="D65" s="3"/>
      <c r="E65" s="3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</row>
    <row r="66" spans="2:17" x14ac:dyDescent="0.25">
      <c r="B66" s="3"/>
      <c r="C66" s="3"/>
      <c r="D66" s="3"/>
      <c r="E66" s="3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</row>
    <row r="67" spans="2:17" x14ac:dyDescent="0.25">
      <c r="B67" s="3"/>
      <c r="C67" s="3"/>
      <c r="D67" s="3"/>
      <c r="E67" s="3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</row>
    <row r="68" spans="2:17" x14ac:dyDescent="0.25">
      <c r="B68" s="3"/>
      <c r="C68" s="3"/>
      <c r="D68" s="3"/>
      <c r="E68" s="3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</row>
    <row r="69" spans="2:17" x14ac:dyDescent="0.25">
      <c r="B69" s="3"/>
      <c r="C69" s="3"/>
      <c r="D69" s="3"/>
      <c r="E69" s="3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</row>
    <row r="70" spans="2:17" x14ac:dyDescent="0.25">
      <c r="B70" s="3"/>
      <c r="C70" s="3"/>
      <c r="D70" s="3"/>
      <c r="E70" s="3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46" r:id="rId4" name="CommandButton1">
          <controlPr defaultSize="0" autoLine="0" r:id="rId5">
            <anchor moveWithCells="1">
              <from>
                <xdr:col>5</xdr:col>
                <xdr:colOff>381000</xdr:colOff>
                <xdr:row>0</xdr:row>
                <xdr:rowOff>95250</xdr:rowOff>
              </from>
              <to>
                <xdr:col>7</xdr:col>
                <xdr:colOff>180975</xdr:colOff>
                <xdr:row>2</xdr:row>
                <xdr:rowOff>95250</xdr:rowOff>
              </to>
            </anchor>
          </controlPr>
        </control>
      </mc:Choice>
      <mc:Fallback>
        <control shapeId="6146" r:id="rId4" name="CommandButton1"/>
      </mc:Fallback>
    </mc:AlternateContent>
    <mc:AlternateContent xmlns:mc="http://schemas.openxmlformats.org/markup-compatibility/2006">
      <mc:Choice Requires="x14">
        <control shapeId="6145" r:id="rId6" name="ComboBox1">
          <controlPr defaultSize="0" autoLine="0" linkedCell="D2" listFillRange="DaftarKelas" r:id="rId7">
            <anchor moveWithCells="1">
              <from>
                <xdr:col>2</xdr:col>
                <xdr:colOff>809625</xdr:colOff>
                <xdr:row>0</xdr:row>
                <xdr:rowOff>142875</xdr:rowOff>
              </from>
              <to>
                <xdr:col>4</xdr:col>
                <xdr:colOff>542925</xdr:colOff>
                <xdr:row>2</xdr:row>
                <xdr:rowOff>19050</xdr:rowOff>
              </to>
            </anchor>
          </controlPr>
        </control>
      </mc:Choice>
      <mc:Fallback>
        <control shapeId="6145" r:id="rId6" name="ComboBox1"/>
      </mc:Fallback>
    </mc:AlternateContent>
    <mc:AlternateContent xmlns:mc="http://schemas.openxmlformats.org/markup-compatibility/2006">
      <mc:Choice Requires="x14">
        <control shapeId="6148" r:id="rId8" name="Button 4">
          <controlPr defaultSize="0" print="0" autoFill="0" autoPict="0" macro="[0]!TampilForm">
            <anchor moveWithCells="1" sizeWithCells="1">
              <from>
                <xdr:col>7</xdr:col>
                <xdr:colOff>447675</xdr:colOff>
                <xdr:row>0</xdr:row>
                <xdr:rowOff>95250</xdr:rowOff>
              </from>
              <to>
                <xdr:col>9</xdr:col>
                <xdr:colOff>180975</xdr:colOff>
                <xdr:row>2</xdr:row>
                <xdr:rowOff>114300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40"/>
  <sheetViews>
    <sheetView zoomScaleNormal="100" workbookViewId="0">
      <selection activeCell="C23" sqref="C23"/>
    </sheetView>
  </sheetViews>
  <sheetFormatPr defaultRowHeight="15" x14ac:dyDescent="0.25"/>
  <cols>
    <col min="1" max="1" width="13.28515625" customWidth="1"/>
    <col min="2" max="2" width="4.7109375" customWidth="1"/>
    <col min="3" max="3" width="12.140625" customWidth="1"/>
    <col min="4" max="15" width="10.5703125" customWidth="1"/>
    <col min="16" max="16" width="12.7109375" customWidth="1"/>
  </cols>
  <sheetData>
    <row r="1" spans="1:17" ht="24.75" customHeight="1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8.75" x14ac:dyDescent="0.3">
      <c r="A2" s="23"/>
      <c r="B2" s="39" t="str">
        <f>"Laporan Penerimaan SPP Tahun Pelajaran "&amp;Kelas!B5</f>
        <v>Laporan Penerimaan SPP Tahun Pelajaran 2011/2012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23"/>
    </row>
    <row r="3" spans="1:17" x14ac:dyDescent="0.25">
      <c r="A3" s="23"/>
      <c r="B3" s="17" t="s">
        <v>3</v>
      </c>
      <c r="C3" s="17" t="s">
        <v>5</v>
      </c>
      <c r="D3" s="16" t="s">
        <v>67</v>
      </c>
      <c r="E3" s="16" t="s">
        <v>56</v>
      </c>
      <c r="F3" s="16" t="s">
        <v>57</v>
      </c>
      <c r="G3" s="16" t="s">
        <v>60</v>
      </c>
      <c r="H3" s="16" t="s">
        <v>58</v>
      </c>
      <c r="I3" s="16" t="s">
        <v>59</v>
      </c>
      <c r="J3" s="16" t="s">
        <v>61</v>
      </c>
      <c r="K3" s="16" t="s">
        <v>62</v>
      </c>
      <c r="L3" s="16" t="s">
        <v>63</v>
      </c>
      <c r="M3" s="16" t="s">
        <v>64</v>
      </c>
      <c r="N3" s="16" t="s">
        <v>52</v>
      </c>
      <c r="O3" s="16" t="s">
        <v>65</v>
      </c>
      <c r="P3" s="16" t="s">
        <v>66</v>
      </c>
      <c r="Q3" s="23"/>
    </row>
    <row r="4" spans="1:17" x14ac:dyDescent="0.25">
      <c r="A4" s="23"/>
      <c r="B4" s="21"/>
      <c r="C4" s="2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3"/>
    </row>
    <row r="5" spans="1:17" x14ac:dyDescent="0.25">
      <c r="A5" s="23"/>
      <c r="B5" s="21"/>
      <c r="C5" s="2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3"/>
    </row>
    <row r="6" spans="1:17" x14ac:dyDescent="0.25">
      <c r="A6" s="23"/>
      <c r="B6" s="21"/>
      <c r="C6" s="21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3"/>
    </row>
    <row r="7" spans="1:17" x14ac:dyDescent="0.25">
      <c r="A7" s="23"/>
      <c r="B7" s="21"/>
      <c r="C7" s="2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3"/>
    </row>
    <row r="8" spans="1:17" x14ac:dyDescent="0.25">
      <c r="A8" s="23"/>
      <c r="B8" s="21"/>
      <c r="C8" s="21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3"/>
    </row>
    <row r="9" spans="1:17" x14ac:dyDescent="0.25">
      <c r="A9" s="24" t="s">
        <v>68</v>
      </c>
      <c r="B9" s="21"/>
      <c r="C9" s="21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3"/>
    </row>
    <row r="10" spans="1:17" x14ac:dyDescent="0.25">
      <c r="A10" s="24" t="s">
        <v>69</v>
      </c>
      <c r="B10" s="21"/>
      <c r="C10" s="21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3"/>
    </row>
    <row r="11" spans="1:17" x14ac:dyDescent="0.25">
      <c r="A11" s="24" t="s">
        <v>70</v>
      </c>
      <c r="B11" s="21"/>
      <c r="C11" s="21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3"/>
    </row>
    <row r="12" spans="1:17" x14ac:dyDescent="0.25">
      <c r="A12" s="24" t="s">
        <v>71</v>
      </c>
      <c r="B12" s="21"/>
      <c r="C12" s="21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3"/>
    </row>
    <row r="13" spans="1:17" x14ac:dyDescent="0.25">
      <c r="A13" s="24" t="s">
        <v>72</v>
      </c>
      <c r="B13" s="21"/>
      <c r="C13" s="21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3"/>
    </row>
    <row r="14" spans="1:17" x14ac:dyDescent="0.25">
      <c r="A14" s="25" t="s">
        <v>73</v>
      </c>
      <c r="B14" s="21"/>
      <c r="C14" s="21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3"/>
    </row>
    <row r="15" spans="1:17" x14ac:dyDescent="0.25">
      <c r="A15" s="26" t="s">
        <v>74</v>
      </c>
      <c r="B15" s="21"/>
      <c r="C15" s="21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3"/>
    </row>
    <row r="16" spans="1:17" x14ac:dyDescent="0.25">
      <c r="A16" s="26" t="s">
        <v>75</v>
      </c>
      <c r="B16" s="21"/>
      <c r="C16" s="21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3"/>
    </row>
    <row r="17" spans="1:17" x14ac:dyDescent="0.25">
      <c r="A17" s="23"/>
      <c r="B17" s="21"/>
      <c r="C17" s="21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3"/>
    </row>
    <row r="18" spans="1:17" x14ac:dyDescent="0.25">
      <c r="A18" s="23"/>
      <c r="B18" s="21"/>
      <c r="C18" s="21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3"/>
    </row>
    <row r="19" spans="1:17" x14ac:dyDescent="0.25">
      <c r="A19" s="23"/>
      <c r="B19" s="21"/>
      <c r="C19" s="21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3"/>
    </row>
    <row r="20" spans="1:17" x14ac:dyDescent="0.25">
      <c r="B20" s="21"/>
      <c r="C20" s="21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7" x14ac:dyDescent="0.25">
      <c r="B21" s="21"/>
      <c r="C21" s="21"/>
      <c r="D21" s="22"/>
      <c r="E21" s="22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7" x14ac:dyDescent="0.25">
      <c r="B22" s="21"/>
      <c r="C22" s="21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7" x14ac:dyDescent="0.25">
      <c r="B23" s="21"/>
      <c r="C23" s="21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7" x14ac:dyDescent="0.25">
      <c r="B24" s="21"/>
      <c r="C24" s="21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7" x14ac:dyDescent="0.25">
      <c r="B25" s="21"/>
      <c r="C25" s="21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7" x14ac:dyDescent="0.25">
      <c r="B26" s="21"/>
      <c r="C26" s="21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7" x14ac:dyDescent="0.25">
      <c r="B27" s="21"/>
      <c r="C27" s="21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7" x14ac:dyDescent="0.25">
      <c r="B28" s="21"/>
      <c r="C28" s="21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7" x14ac:dyDescent="0.25">
      <c r="B29" s="21"/>
      <c r="C29" s="21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7" x14ac:dyDescent="0.25">
      <c r="B30" s="21"/>
      <c r="C30" s="21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7" x14ac:dyDescent="0.25">
      <c r="B31" s="21"/>
      <c r="C31" s="21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7" x14ac:dyDescent="0.25">
      <c r="B32" s="21"/>
      <c r="C32" s="21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2:16" x14ac:dyDescent="0.25">
      <c r="B33" s="21"/>
      <c r="C33" s="21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2:16" x14ac:dyDescent="0.25">
      <c r="B34" s="21"/>
      <c r="C34" s="21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2:16" x14ac:dyDescent="0.25">
      <c r="B35" s="21"/>
      <c r="C35" s="21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2:16" x14ac:dyDescent="0.25">
      <c r="B36" s="21"/>
      <c r="C36" s="21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2:16" x14ac:dyDescent="0.25">
      <c r="B37" s="21"/>
      <c r="C37" s="21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2:16" x14ac:dyDescent="0.25">
      <c r="B38" s="21"/>
      <c r="C38" s="21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2:16" x14ac:dyDescent="0.25">
      <c r="B39" s="21"/>
      <c r="C39" s="21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2:16" x14ac:dyDescent="0.25">
      <c r="B40" s="21"/>
      <c r="C40" s="21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</sheetData>
  <pageMargins left="0.2" right="0.7" top="0.75" bottom="0.75" header="0.3" footer="0.3"/>
  <pageSetup paperSize="5" orientation="landscape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0</xdr:col>
                <xdr:colOff>114300</xdr:colOff>
                <xdr:row>3</xdr:row>
                <xdr:rowOff>85725</xdr:rowOff>
              </from>
              <to>
                <xdr:col>0</xdr:col>
                <xdr:colOff>790575</xdr:colOff>
                <xdr:row>7</xdr:row>
                <xdr:rowOff>142875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2" r:id="rId6" name="Button 4">
          <controlPr defaultSize="0" print="0" autoFill="0" autoPict="0" macro="[0]!TampilForm">
            <anchor moveWithCells="1" sizeWithCells="1">
              <from>
                <xdr:col>0</xdr:col>
                <xdr:colOff>85725</xdr:colOff>
                <xdr:row>0</xdr:row>
                <xdr:rowOff>57150</xdr:rowOff>
              </from>
              <to>
                <xdr:col>0</xdr:col>
                <xdr:colOff>809625</xdr:colOff>
                <xdr:row>2</xdr:row>
                <xdr:rowOff>142875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6"/>
  <sheetViews>
    <sheetView zoomScaleNormal="100" workbookViewId="0">
      <selection activeCell="J9" sqref="J9"/>
    </sheetView>
  </sheetViews>
  <sheetFormatPr defaultRowHeight="15" x14ac:dyDescent="0.25"/>
  <cols>
    <col min="4" max="4" width="4.7109375" customWidth="1"/>
    <col min="5" max="5" width="12.140625" customWidth="1"/>
    <col min="6" max="6" width="2.7109375" customWidth="1"/>
    <col min="9" max="9" width="2.85546875" customWidth="1"/>
    <col min="10" max="10" width="13.85546875" customWidth="1"/>
  </cols>
  <sheetData>
    <row r="2" spans="2:11" x14ac:dyDescent="0.25">
      <c r="B2" s="57" t="s">
        <v>78</v>
      </c>
      <c r="C2" s="57"/>
      <c r="D2" s="57"/>
      <c r="E2" s="57"/>
      <c r="F2" s="57"/>
      <c r="G2" s="57"/>
      <c r="H2" s="57"/>
      <c r="I2" s="57"/>
      <c r="J2" s="57"/>
      <c r="K2" s="19"/>
    </row>
    <row r="4" spans="2:11" x14ac:dyDescent="0.25">
      <c r="B4" t="s">
        <v>5</v>
      </c>
      <c r="D4" t="s">
        <v>54</v>
      </c>
      <c r="E4" s="35" t="s">
        <v>89</v>
      </c>
    </row>
    <row r="5" spans="2:11" x14ac:dyDescent="0.25">
      <c r="B5" t="s">
        <v>38</v>
      </c>
      <c r="D5" t="s">
        <v>54</v>
      </c>
      <c r="E5" s="35" t="s">
        <v>88</v>
      </c>
    </row>
    <row r="6" spans="2:11" x14ac:dyDescent="0.25">
      <c r="B6" t="s">
        <v>23</v>
      </c>
      <c r="D6" t="s">
        <v>54</v>
      </c>
      <c r="E6" s="36">
        <v>23</v>
      </c>
    </row>
    <row r="8" spans="2:11" x14ac:dyDescent="0.25">
      <c r="B8" t="s">
        <v>46</v>
      </c>
      <c r="G8" t="s">
        <v>47</v>
      </c>
    </row>
    <row r="9" spans="2:11" x14ac:dyDescent="0.25">
      <c r="B9" t="s">
        <v>40</v>
      </c>
      <c r="C9" t="str">
        <f>LEFT(Kelas!B$5,4)</f>
        <v>2011</v>
      </c>
      <c r="D9" t="s">
        <v>54</v>
      </c>
      <c r="E9" s="28"/>
      <c r="F9" s="34"/>
      <c r="G9" t="s">
        <v>48</v>
      </c>
      <c r="H9" t="str">
        <f>RIGHT(Kelas!B$5,4)</f>
        <v>2012</v>
      </c>
      <c r="I9" t="s">
        <v>54</v>
      </c>
    </row>
    <row r="10" spans="2:11" x14ac:dyDescent="0.25">
      <c r="B10" t="s">
        <v>41</v>
      </c>
      <c r="C10" t="str">
        <f>LEFT(Kelas!B$5,4)</f>
        <v>2011</v>
      </c>
      <c r="D10" t="s">
        <v>54</v>
      </c>
      <c r="E10" s="28"/>
      <c r="F10" s="34"/>
      <c r="G10" t="s">
        <v>49</v>
      </c>
      <c r="H10" t="str">
        <f>RIGHT(Kelas!B$5,4)</f>
        <v>2012</v>
      </c>
      <c r="I10" t="s">
        <v>54</v>
      </c>
      <c r="K10" s="28"/>
    </row>
    <row r="11" spans="2:11" x14ac:dyDescent="0.25">
      <c r="B11" t="s">
        <v>42</v>
      </c>
      <c r="C11" t="str">
        <f>LEFT(Kelas!B$5,4)</f>
        <v>2011</v>
      </c>
      <c r="D11" t="s">
        <v>54</v>
      </c>
      <c r="E11" s="28"/>
      <c r="F11" s="34"/>
      <c r="G11" t="s">
        <v>50</v>
      </c>
      <c r="H11" t="str">
        <f>RIGHT(Kelas!B$5,4)</f>
        <v>2012</v>
      </c>
      <c r="I11" t="s">
        <v>54</v>
      </c>
      <c r="K11" s="28"/>
    </row>
    <row r="12" spans="2:11" x14ac:dyDescent="0.25">
      <c r="B12" t="s">
        <v>43</v>
      </c>
      <c r="C12" t="str">
        <f>LEFT(Kelas!B$5,4)</f>
        <v>2011</v>
      </c>
      <c r="D12" t="s">
        <v>54</v>
      </c>
      <c r="E12" s="28"/>
      <c r="F12" s="34"/>
      <c r="G12" t="s">
        <v>51</v>
      </c>
      <c r="H12" t="str">
        <f>RIGHT(Kelas!B$5,4)</f>
        <v>2012</v>
      </c>
      <c r="I12" t="s">
        <v>54</v>
      </c>
      <c r="K12" s="28"/>
    </row>
    <row r="13" spans="2:11" x14ac:dyDescent="0.25">
      <c r="B13" t="s">
        <v>44</v>
      </c>
      <c r="C13" t="str">
        <f>LEFT(Kelas!B$5,4)</f>
        <v>2011</v>
      </c>
      <c r="D13" t="s">
        <v>54</v>
      </c>
      <c r="E13" s="28"/>
      <c r="F13" s="34"/>
      <c r="G13" t="s">
        <v>52</v>
      </c>
      <c r="H13" t="str">
        <f>RIGHT(Kelas!B$5,4)</f>
        <v>2012</v>
      </c>
      <c r="I13" t="s">
        <v>54</v>
      </c>
      <c r="K13" s="28"/>
    </row>
    <row r="14" spans="2:11" x14ac:dyDescent="0.25">
      <c r="B14" t="s">
        <v>45</v>
      </c>
      <c r="C14" t="str">
        <f>LEFT(Kelas!B$5,4)</f>
        <v>2011</v>
      </c>
      <c r="D14" t="s">
        <v>54</v>
      </c>
      <c r="E14" s="28"/>
      <c r="F14" s="34"/>
      <c r="G14" t="s">
        <v>53</v>
      </c>
      <c r="H14" t="str">
        <f>RIGHT(Kelas!B$5,4)</f>
        <v>2012</v>
      </c>
      <c r="I14" t="s">
        <v>54</v>
      </c>
      <c r="K14" s="28"/>
    </row>
    <row r="15" spans="2:11" x14ac:dyDescent="0.25">
      <c r="F15" s="34"/>
    </row>
    <row r="16" spans="2:11" x14ac:dyDescent="0.25">
      <c r="E16" s="38" t="s">
        <v>76</v>
      </c>
      <c r="F16" t="s">
        <v>54</v>
      </c>
      <c r="G16" s="56">
        <f ca="1">TODAY()</f>
        <v>41010</v>
      </c>
      <c r="H16" s="56"/>
      <c r="I16" s="37"/>
    </row>
  </sheetData>
  <mergeCells count="2">
    <mergeCell ref="G16:H16"/>
    <mergeCell ref="B2:J2"/>
  </mergeCells>
  <pageMargins left="0.7" right="0.7" top="0.75" bottom="0.75" header="0.3" footer="0.3"/>
  <pageSetup paperSize="9" orientation="portrait" horizontalDpi="4294967293" verticalDpi="4294967293" r:id="rId1"/>
</worksheet>
</file>

<file path=customUI/customUI.xml><?xml version="1.0" encoding="utf-8"?>
<customUI xmlns="http://schemas.microsoft.com/office/2006/01/customui">
  <ribbon>
    <tabs>
      <tab idMso="TabHome">
        <group idMso="GroupEditingExcel" visible="false"/>
        <group idMso="GroupCells" visible="false"/>
        <group idMso="GroupStyles" visible="false"/>
        <group idMso="GroupNumber" visible="false"/>
      </tab>
      <tab idMso="TabInsert" visible="false">
	</tab>
      <tab idMso="TabFormulas" visible="false">
	</tab>
      <tab idMso="TabData" visible="false">
	</tab>
      <tab idMso="TabReview" visible="false">
	</tab>
      <tab idMso="TabView" visible="false">
	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 </vt:lpstr>
      <vt:lpstr>PerSiswa!Print_Area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TU MAMUDA</cp:lastModifiedBy>
  <cp:lastPrinted>2012-04-11T05:05:25Z</cp:lastPrinted>
  <dcterms:created xsi:type="dcterms:W3CDTF">2012-02-04T22:21:48Z</dcterms:created>
  <dcterms:modified xsi:type="dcterms:W3CDTF">2012-04-11T05:06:32Z</dcterms:modified>
</cp:coreProperties>
</file>