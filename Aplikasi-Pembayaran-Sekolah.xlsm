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Documents\Data Excel\Baru\"/>
    </mc:Choice>
  </mc:AlternateContent>
  <bookViews>
    <workbookView xWindow="0" yWindow="0" windowWidth="18975" windowHeight="8340" tabRatio="660" activeTab="1"/>
  </bookViews>
  <sheets>
    <sheet name="Identitas" sheetId="5" r:id="rId1"/>
    <sheet name="Input" sheetId="1" r:id="rId2"/>
    <sheet name="Tunggakan" sheetId="6" r:id="rId3"/>
    <sheet name="DataBase" sheetId="3" r:id="rId4"/>
    <sheet name="Daftar" sheetId="2" r:id="rId5"/>
    <sheet name="Kartu" sheetId="4" r:id="rId6"/>
    <sheet name="Kuitansi" sheetId="8" r:id="rId7"/>
  </sheets>
  <definedNames>
    <definedName name="_xlnm.Print_Area" localSheetId="5">Kartu!$E$7:$K$35</definedName>
    <definedName name="_xlnm.Print_Area" localSheetId="6">Kuitansi!$B$9:$D$29</definedName>
  </definedNames>
  <calcPr calcId="152511"/>
</workbook>
</file>

<file path=xl/calcChain.xml><?xml version="1.0" encoding="utf-8"?>
<calcChain xmlns="http://schemas.openxmlformats.org/spreadsheetml/2006/main">
  <c r="H8" i="3" l="1"/>
  <c r="H7" i="3"/>
  <c r="H6" i="3" l="1"/>
  <c r="H5" i="3"/>
  <c r="G5" i="6" l="1"/>
  <c r="H5" i="6" s="1"/>
  <c r="B6" i="6" l="1"/>
  <c r="C6" i="6"/>
  <c r="D6" i="6"/>
  <c r="E6" i="6"/>
  <c r="B7" i="6"/>
  <c r="C7" i="6"/>
  <c r="D7" i="6"/>
  <c r="E7" i="6"/>
  <c r="B8" i="6"/>
  <c r="C8" i="6"/>
  <c r="D8" i="6"/>
  <c r="E8" i="6"/>
  <c r="B9" i="6"/>
  <c r="C9" i="6"/>
  <c r="D9" i="6"/>
  <c r="E9" i="6"/>
  <c r="B10" i="6"/>
  <c r="C10" i="6"/>
  <c r="D10" i="6"/>
  <c r="E10" i="6"/>
  <c r="B11" i="6"/>
  <c r="C11" i="6"/>
  <c r="D11" i="6"/>
  <c r="E11" i="6"/>
  <c r="B12" i="6"/>
  <c r="C12" i="6"/>
  <c r="D12" i="6"/>
  <c r="E12" i="6"/>
  <c r="B13" i="6"/>
  <c r="C13" i="6"/>
  <c r="D13" i="6"/>
  <c r="E13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B45" i="6"/>
  <c r="C45" i="6"/>
  <c r="D45" i="6"/>
  <c r="E45" i="6"/>
  <c r="B46" i="6"/>
  <c r="C46" i="6"/>
  <c r="D46" i="6"/>
  <c r="E46" i="6"/>
  <c r="B47" i="6"/>
  <c r="C47" i="6"/>
  <c r="D47" i="6"/>
  <c r="E47" i="6"/>
  <c r="B48" i="6"/>
  <c r="C48" i="6"/>
  <c r="D48" i="6"/>
  <c r="E48" i="6"/>
  <c r="B49" i="6"/>
  <c r="C49" i="6"/>
  <c r="D49" i="6"/>
  <c r="E49" i="6"/>
  <c r="B50" i="6"/>
  <c r="C50" i="6"/>
  <c r="D50" i="6"/>
  <c r="E50" i="6"/>
  <c r="B51" i="6"/>
  <c r="C51" i="6"/>
  <c r="D51" i="6"/>
  <c r="E51" i="6"/>
  <c r="B52" i="6"/>
  <c r="C52" i="6"/>
  <c r="D52" i="6"/>
  <c r="E52" i="6"/>
  <c r="B53" i="6"/>
  <c r="C53" i="6"/>
  <c r="D53" i="6"/>
  <c r="E53" i="6"/>
  <c r="B54" i="6"/>
  <c r="C54" i="6"/>
  <c r="D54" i="6"/>
  <c r="E54" i="6"/>
  <c r="B55" i="6"/>
  <c r="C55" i="6"/>
  <c r="D55" i="6"/>
  <c r="E55" i="6"/>
  <c r="B56" i="6"/>
  <c r="C56" i="6"/>
  <c r="D56" i="6"/>
  <c r="E56" i="6"/>
  <c r="B57" i="6"/>
  <c r="C57" i="6"/>
  <c r="D57" i="6"/>
  <c r="E57" i="6"/>
  <c r="B58" i="6"/>
  <c r="C58" i="6"/>
  <c r="D58" i="6"/>
  <c r="E58" i="6"/>
  <c r="B59" i="6"/>
  <c r="C59" i="6"/>
  <c r="D59" i="6"/>
  <c r="E59" i="6"/>
  <c r="B60" i="6"/>
  <c r="C60" i="6"/>
  <c r="D60" i="6"/>
  <c r="E60" i="6"/>
  <c r="B61" i="6"/>
  <c r="C61" i="6"/>
  <c r="D61" i="6"/>
  <c r="E61" i="6"/>
  <c r="B62" i="6"/>
  <c r="C62" i="6"/>
  <c r="D62" i="6"/>
  <c r="E62" i="6"/>
  <c r="B63" i="6"/>
  <c r="C63" i="6"/>
  <c r="D63" i="6"/>
  <c r="E63" i="6"/>
  <c r="B64" i="6"/>
  <c r="C64" i="6"/>
  <c r="D64" i="6"/>
  <c r="E64" i="6"/>
  <c r="B65" i="6"/>
  <c r="C65" i="6"/>
  <c r="D65" i="6"/>
  <c r="E65" i="6"/>
  <c r="B66" i="6"/>
  <c r="C66" i="6"/>
  <c r="D66" i="6"/>
  <c r="E66" i="6"/>
  <c r="B67" i="6"/>
  <c r="C67" i="6"/>
  <c r="D67" i="6"/>
  <c r="E67" i="6"/>
  <c r="B68" i="6"/>
  <c r="C68" i="6"/>
  <c r="D68" i="6"/>
  <c r="E68" i="6"/>
  <c r="B69" i="6"/>
  <c r="C69" i="6"/>
  <c r="D69" i="6"/>
  <c r="E69" i="6"/>
  <c r="B70" i="6"/>
  <c r="C70" i="6"/>
  <c r="D70" i="6"/>
  <c r="E70" i="6"/>
  <c r="B71" i="6"/>
  <c r="C71" i="6"/>
  <c r="D71" i="6"/>
  <c r="E71" i="6"/>
  <c r="B72" i="6"/>
  <c r="C72" i="6"/>
  <c r="D72" i="6"/>
  <c r="E72" i="6"/>
  <c r="B73" i="6"/>
  <c r="C73" i="6"/>
  <c r="D73" i="6"/>
  <c r="E73" i="6"/>
  <c r="B74" i="6"/>
  <c r="C74" i="6"/>
  <c r="D74" i="6"/>
  <c r="E74" i="6"/>
  <c r="B75" i="6"/>
  <c r="C75" i="6"/>
  <c r="D75" i="6"/>
  <c r="E75" i="6"/>
  <c r="B76" i="6"/>
  <c r="C76" i="6"/>
  <c r="D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D81" i="6"/>
  <c r="E81" i="6"/>
  <c r="B82" i="6"/>
  <c r="C82" i="6"/>
  <c r="D82" i="6"/>
  <c r="E82" i="6"/>
  <c r="B83" i="6"/>
  <c r="C83" i="6"/>
  <c r="D83" i="6"/>
  <c r="E83" i="6"/>
  <c r="B84" i="6"/>
  <c r="C84" i="6"/>
  <c r="D84" i="6"/>
  <c r="E84" i="6"/>
  <c r="B85" i="6"/>
  <c r="C85" i="6"/>
  <c r="D85" i="6"/>
  <c r="E85" i="6"/>
  <c r="B86" i="6"/>
  <c r="C86" i="6"/>
  <c r="D86" i="6"/>
  <c r="E86" i="6"/>
  <c r="B87" i="6"/>
  <c r="C87" i="6"/>
  <c r="D87" i="6"/>
  <c r="E87" i="6"/>
  <c r="B88" i="6"/>
  <c r="C88" i="6"/>
  <c r="D88" i="6"/>
  <c r="E88" i="6"/>
  <c r="B89" i="6"/>
  <c r="C89" i="6"/>
  <c r="D89" i="6"/>
  <c r="E89" i="6"/>
  <c r="B90" i="6"/>
  <c r="C90" i="6"/>
  <c r="D90" i="6"/>
  <c r="E90" i="6"/>
  <c r="B91" i="6"/>
  <c r="C91" i="6"/>
  <c r="D91" i="6"/>
  <c r="E91" i="6"/>
  <c r="B92" i="6"/>
  <c r="C92" i="6"/>
  <c r="D92" i="6"/>
  <c r="E92" i="6"/>
  <c r="B93" i="6"/>
  <c r="C93" i="6"/>
  <c r="D93" i="6"/>
  <c r="E93" i="6"/>
  <c r="B94" i="6"/>
  <c r="C94" i="6"/>
  <c r="D94" i="6"/>
  <c r="E94" i="6"/>
  <c r="B95" i="6"/>
  <c r="C95" i="6"/>
  <c r="D95" i="6"/>
  <c r="E95" i="6"/>
  <c r="B96" i="6"/>
  <c r="C96" i="6"/>
  <c r="D96" i="6"/>
  <c r="E96" i="6"/>
  <c r="B97" i="6"/>
  <c r="C97" i="6"/>
  <c r="D97" i="6"/>
  <c r="E97" i="6"/>
  <c r="B98" i="6"/>
  <c r="C98" i="6"/>
  <c r="D98" i="6"/>
  <c r="E98" i="6"/>
  <c r="B99" i="6"/>
  <c r="C99" i="6"/>
  <c r="D99" i="6"/>
  <c r="E99" i="6"/>
  <c r="B100" i="6"/>
  <c r="C100" i="6"/>
  <c r="D100" i="6"/>
  <c r="E100" i="6"/>
  <c r="B101" i="6"/>
  <c r="C101" i="6"/>
  <c r="D101" i="6"/>
  <c r="E101" i="6"/>
  <c r="B102" i="6"/>
  <c r="C102" i="6"/>
  <c r="D102" i="6"/>
  <c r="E102" i="6"/>
  <c r="B103" i="6"/>
  <c r="C103" i="6"/>
  <c r="D103" i="6"/>
  <c r="E103" i="6"/>
  <c r="B104" i="6"/>
  <c r="C104" i="6"/>
  <c r="D104" i="6"/>
  <c r="E104" i="6"/>
  <c r="B105" i="6"/>
  <c r="C105" i="6"/>
  <c r="D105" i="6"/>
  <c r="E105" i="6"/>
  <c r="B106" i="6"/>
  <c r="C106" i="6"/>
  <c r="D106" i="6"/>
  <c r="E106" i="6"/>
  <c r="B107" i="6"/>
  <c r="C107" i="6"/>
  <c r="D107" i="6"/>
  <c r="E107" i="6"/>
  <c r="B108" i="6"/>
  <c r="C108" i="6"/>
  <c r="D108" i="6"/>
  <c r="E108" i="6"/>
  <c r="B109" i="6"/>
  <c r="C109" i="6"/>
  <c r="D109" i="6"/>
  <c r="E109" i="6"/>
  <c r="B110" i="6"/>
  <c r="C110" i="6"/>
  <c r="D110" i="6"/>
  <c r="E110" i="6"/>
  <c r="B111" i="6"/>
  <c r="C111" i="6"/>
  <c r="D111" i="6"/>
  <c r="E111" i="6"/>
  <c r="B112" i="6"/>
  <c r="C112" i="6"/>
  <c r="D112" i="6"/>
  <c r="E112" i="6"/>
  <c r="B113" i="6"/>
  <c r="C113" i="6"/>
  <c r="D113" i="6"/>
  <c r="E113" i="6"/>
  <c r="B114" i="6"/>
  <c r="C114" i="6"/>
  <c r="D114" i="6"/>
  <c r="E114" i="6"/>
  <c r="B115" i="6"/>
  <c r="C115" i="6"/>
  <c r="D115" i="6"/>
  <c r="E115" i="6"/>
  <c r="B116" i="6"/>
  <c r="C116" i="6"/>
  <c r="D116" i="6"/>
  <c r="E116" i="6"/>
  <c r="B117" i="6"/>
  <c r="C117" i="6"/>
  <c r="D117" i="6"/>
  <c r="E117" i="6"/>
  <c r="B118" i="6"/>
  <c r="C118" i="6"/>
  <c r="D118" i="6"/>
  <c r="E118" i="6"/>
  <c r="B119" i="6"/>
  <c r="C119" i="6"/>
  <c r="D119" i="6"/>
  <c r="E119" i="6"/>
  <c r="B120" i="6"/>
  <c r="C120" i="6"/>
  <c r="D120" i="6"/>
  <c r="E120" i="6"/>
  <c r="B121" i="6"/>
  <c r="C121" i="6"/>
  <c r="D121" i="6"/>
  <c r="E121" i="6"/>
  <c r="B122" i="6"/>
  <c r="C122" i="6"/>
  <c r="D122" i="6"/>
  <c r="E122" i="6"/>
  <c r="B123" i="6"/>
  <c r="C123" i="6"/>
  <c r="D123" i="6"/>
  <c r="E123" i="6"/>
  <c r="B124" i="6"/>
  <c r="C124" i="6"/>
  <c r="D124" i="6"/>
  <c r="E124" i="6"/>
  <c r="B125" i="6"/>
  <c r="C125" i="6"/>
  <c r="D125" i="6"/>
  <c r="E125" i="6"/>
  <c r="B126" i="6"/>
  <c r="C126" i="6"/>
  <c r="D126" i="6"/>
  <c r="E126" i="6"/>
  <c r="B127" i="6"/>
  <c r="C127" i="6"/>
  <c r="D127" i="6"/>
  <c r="E127" i="6"/>
  <c r="B128" i="6"/>
  <c r="C128" i="6"/>
  <c r="D128" i="6"/>
  <c r="E128" i="6"/>
  <c r="B129" i="6"/>
  <c r="C129" i="6"/>
  <c r="D129" i="6"/>
  <c r="E129" i="6"/>
  <c r="B130" i="6"/>
  <c r="C130" i="6"/>
  <c r="D130" i="6"/>
  <c r="E130" i="6"/>
  <c r="B131" i="6"/>
  <c r="C131" i="6"/>
  <c r="D131" i="6"/>
  <c r="E131" i="6"/>
  <c r="B132" i="6"/>
  <c r="C132" i="6"/>
  <c r="D132" i="6"/>
  <c r="E132" i="6"/>
  <c r="B133" i="6"/>
  <c r="C133" i="6"/>
  <c r="D133" i="6"/>
  <c r="E133" i="6"/>
  <c r="B134" i="6"/>
  <c r="C134" i="6"/>
  <c r="D134" i="6"/>
  <c r="E134" i="6"/>
  <c r="B135" i="6"/>
  <c r="C135" i="6"/>
  <c r="D135" i="6"/>
  <c r="E135" i="6"/>
  <c r="B136" i="6"/>
  <c r="C136" i="6"/>
  <c r="D136" i="6"/>
  <c r="E136" i="6"/>
  <c r="B137" i="6"/>
  <c r="C137" i="6"/>
  <c r="D137" i="6"/>
  <c r="E137" i="6"/>
  <c r="B138" i="6"/>
  <c r="C138" i="6"/>
  <c r="D138" i="6"/>
  <c r="E138" i="6"/>
  <c r="B139" i="6"/>
  <c r="C139" i="6"/>
  <c r="D139" i="6"/>
  <c r="E139" i="6"/>
  <c r="B140" i="6"/>
  <c r="C140" i="6"/>
  <c r="D140" i="6"/>
  <c r="E140" i="6"/>
  <c r="B141" i="6"/>
  <c r="C141" i="6"/>
  <c r="D141" i="6"/>
  <c r="E141" i="6"/>
  <c r="B142" i="6"/>
  <c r="C142" i="6"/>
  <c r="D142" i="6"/>
  <c r="E142" i="6"/>
  <c r="B143" i="6"/>
  <c r="C143" i="6"/>
  <c r="D143" i="6"/>
  <c r="E143" i="6"/>
  <c r="B144" i="6"/>
  <c r="C144" i="6"/>
  <c r="D144" i="6"/>
  <c r="E144" i="6"/>
  <c r="B145" i="6"/>
  <c r="C145" i="6"/>
  <c r="D145" i="6"/>
  <c r="E145" i="6"/>
  <c r="B146" i="6"/>
  <c r="C146" i="6"/>
  <c r="D146" i="6"/>
  <c r="E146" i="6"/>
  <c r="B147" i="6"/>
  <c r="C147" i="6"/>
  <c r="D147" i="6"/>
  <c r="E147" i="6"/>
  <c r="B148" i="6"/>
  <c r="C148" i="6"/>
  <c r="D148" i="6"/>
  <c r="E148" i="6"/>
  <c r="B149" i="6"/>
  <c r="C149" i="6"/>
  <c r="D149" i="6"/>
  <c r="E149" i="6"/>
  <c r="B150" i="6"/>
  <c r="C150" i="6"/>
  <c r="D150" i="6"/>
  <c r="E150" i="6"/>
  <c r="B151" i="6"/>
  <c r="C151" i="6"/>
  <c r="D151" i="6"/>
  <c r="E151" i="6"/>
  <c r="B152" i="6"/>
  <c r="C152" i="6"/>
  <c r="D152" i="6"/>
  <c r="E152" i="6"/>
  <c r="B153" i="6"/>
  <c r="C153" i="6"/>
  <c r="D153" i="6"/>
  <c r="E153" i="6"/>
  <c r="B154" i="6"/>
  <c r="C154" i="6"/>
  <c r="D154" i="6"/>
  <c r="E154" i="6"/>
  <c r="B155" i="6"/>
  <c r="C155" i="6"/>
  <c r="D155" i="6"/>
  <c r="E155" i="6"/>
  <c r="B156" i="6"/>
  <c r="C156" i="6"/>
  <c r="D156" i="6"/>
  <c r="E156" i="6"/>
  <c r="B157" i="6"/>
  <c r="C157" i="6"/>
  <c r="D157" i="6"/>
  <c r="E157" i="6"/>
  <c r="B158" i="6"/>
  <c r="C158" i="6"/>
  <c r="D158" i="6"/>
  <c r="E158" i="6"/>
  <c r="B159" i="6"/>
  <c r="C159" i="6"/>
  <c r="D159" i="6"/>
  <c r="E159" i="6"/>
  <c r="B160" i="6"/>
  <c r="C160" i="6"/>
  <c r="D160" i="6"/>
  <c r="E160" i="6"/>
  <c r="B161" i="6"/>
  <c r="C161" i="6"/>
  <c r="D161" i="6"/>
  <c r="E161" i="6"/>
  <c r="B162" i="6"/>
  <c r="C162" i="6"/>
  <c r="D162" i="6"/>
  <c r="E162" i="6"/>
  <c r="B163" i="6"/>
  <c r="C163" i="6"/>
  <c r="D163" i="6"/>
  <c r="E163" i="6"/>
  <c r="B164" i="6"/>
  <c r="C164" i="6"/>
  <c r="D164" i="6"/>
  <c r="E164" i="6"/>
  <c r="B165" i="6"/>
  <c r="C165" i="6"/>
  <c r="D165" i="6"/>
  <c r="E165" i="6"/>
  <c r="B166" i="6"/>
  <c r="C166" i="6"/>
  <c r="D166" i="6"/>
  <c r="E166" i="6"/>
  <c r="B167" i="6"/>
  <c r="C167" i="6"/>
  <c r="D167" i="6"/>
  <c r="E167" i="6"/>
  <c r="B168" i="6"/>
  <c r="C168" i="6"/>
  <c r="D168" i="6"/>
  <c r="E168" i="6"/>
  <c r="B169" i="6"/>
  <c r="C169" i="6"/>
  <c r="D169" i="6"/>
  <c r="E169" i="6"/>
  <c r="B170" i="6"/>
  <c r="C170" i="6"/>
  <c r="D170" i="6"/>
  <c r="E170" i="6"/>
  <c r="B171" i="6"/>
  <c r="C171" i="6"/>
  <c r="D171" i="6"/>
  <c r="E171" i="6"/>
  <c r="B172" i="6"/>
  <c r="C172" i="6"/>
  <c r="D172" i="6"/>
  <c r="E172" i="6"/>
  <c r="B173" i="6"/>
  <c r="C173" i="6"/>
  <c r="D173" i="6"/>
  <c r="E173" i="6"/>
  <c r="B174" i="6"/>
  <c r="C174" i="6"/>
  <c r="D174" i="6"/>
  <c r="E174" i="6"/>
  <c r="B175" i="6"/>
  <c r="C175" i="6"/>
  <c r="D175" i="6"/>
  <c r="E175" i="6"/>
  <c r="B176" i="6"/>
  <c r="C176" i="6"/>
  <c r="D176" i="6"/>
  <c r="E176" i="6"/>
  <c r="B177" i="6"/>
  <c r="C177" i="6"/>
  <c r="D177" i="6"/>
  <c r="E177" i="6"/>
  <c r="B178" i="6"/>
  <c r="C178" i="6"/>
  <c r="D178" i="6"/>
  <c r="E178" i="6"/>
  <c r="B179" i="6"/>
  <c r="C179" i="6"/>
  <c r="D179" i="6"/>
  <c r="E179" i="6"/>
  <c r="B180" i="6"/>
  <c r="C180" i="6"/>
  <c r="D180" i="6"/>
  <c r="E180" i="6"/>
  <c r="B181" i="6"/>
  <c r="C181" i="6"/>
  <c r="D181" i="6"/>
  <c r="E181" i="6"/>
  <c r="B182" i="6"/>
  <c r="C182" i="6"/>
  <c r="D182" i="6"/>
  <c r="E182" i="6"/>
  <c r="B183" i="6"/>
  <c r="C183" i="6"/>
  <c r="D183" i="6"/>
  <c r="E183" i="6"/>
  <c r="B184" i="6"/>
  <c r="C184" i="6"/>
  <c r="D184" i="6"/>
  <c r="E184" i="6"/>
  <c r="B185" i="6"/>
  <c r="C185" i="6"/>
  <c r="D185" i="6"/>
  <c r="E185" i="6"/>
  <c r="B186" i="6"/>
  <c r="C186" i="6"/>
  <c r="D186" i="6"/>
  <c r="E186" i="6"/>
  <c r="B187" i="6"/>
  <c r="C187" i="6"/>
  <c r="D187" i="6"/>
  <c r="E187" i="6"/>
  <c r="B188" i="6"/>
  <c r="C188" i="6"/>
  <c r="D188" i="6"/>
  <c r="E188" i="6"/>
  <c r="B189" i="6"/>
  <c r="C189" i="6"/>
  <c r="D189" i="6"/>
  <c r="E189" i="6"/>
  <c r="B190" i="6"/>
  <c r="C190" i="6"/>
  <c r="D190" i="6"/>
  <c r="E190" i="6"/>
  <c r="B191" i="6"/>
  <c r="C191" i="6"/>
  <c r="D191" i="6"/>
  <c r="E191" i="6"/>
  <c r="B192" i="6"/>
  <c r="C192" i="6"/>
  <c r="D192" i="6"/>
  <c r="E192" i="6"/>
  <c r="B193" i="6"/>
  <c r="C193" i="6"/>
  <c r="D193" i="6"/>
  <c r="E193" i="6"/>
  <c r="B194" i="6"/>
  <c r="C194" i="6"/>
  <c r="D194" i="6"/>
  <c r="E194" i="6"/>
  <c r="B195" i="6"/>
  <c r="C195" i="6"/>
  <c r="D195" i="6"/>
  <c r="E195" i="6"/>
  <c r="B196" i="6"/>
  <c r="C196" i="6"/>
  <c r="D196" i="6"/>
  <c r="E196" i="6"/>
  <c r="B197" i="6"/>
  <c r="C197" i="6"/>
  <c r="D197" i="6"/>
  <c r="E197" i="6"/>
  <c r="B198" i="6"/>
  <c r="C198" i="6"/>
  <c r="D198" i="6"/>
  <c r="E198" i="6"/>
  <c r="B199" i="6"/>
  <c r="C199" i="6"/>
  <c r="D199" i="6"/>
  <c r="E199" i="6"/>
  <c r="B200" i="6"/>
  <c r="C200" i="6"/>
  <c r="D200" i="6"/>
  <c r="E200" i="6"/>
  <c r="B201" i="6"/>
  <c r="C201" i="6"/>
  <c r="D201" i="6"/>
  <c r="E201" i="6"/>
  <c r="B202" i="6"/>
  <c r="C202" i="6"/>
  <c r="D202" i="6"/>
  <c r="E202" i="6"/>
  <c r="B203" i="6"/>
  <c r="C203" i="6"/>
  <c r="D203" i="6"/>
  <c r="E203" i="6"/>
  <c r="B204" i="6"/>
  <c r="C204" i="6"/>
  <c r="D204" i="6"/>
  <c r="E204" i="6"/>
  <c r="B205" i="6"/>
  <c r="C205" i="6"/>
  <c r="D205" i="6"/>
  <c r="E205" i="6"/>
  <c r="B206" i="6"/>
  <c r="C206" i="6"/>
  <c r="D206" i="6"/>
  <c r="E206" i="6"/>
  <c r="B207" i="6"/>
  <c r="C207" i="6"/>
  <c r="D207" i="6"/>
  <c r="E207" i="6"/>
  <c r="B208" i="6"/>
  <c r="C208" i="6"/>
  <c r="D208" i="6"/>
  <c r="E208" i="6"/>
  <c r="B209" i="6"/>
  <c r="C209" i="6"/>
  <c r="D209" i="6"/>
  <c r="E209" i="6"/>
  <c r="B210" i="6"/>
  <c r="C210" i="6"/>
  <c r="D210" i="6"/>
  <c r="E210" i="6"/>
  <c r="B211" i="6"/>
  <c r="C211" i="6"/>
  <c r="D211" i="6"/>
  <c r="E211" i="6"/>
  <c r="B212" i="6"/>
  <c r="C212" i="6"/>
  <c r="D212" i="6"/>
  <c r="E212" i="6"/>
  <c r="B213" i="6"/>
  <c r="C213" i="6"/>
  <c r="D213" i="6"/>
  <c r="E213" i="6"/>
  <c r="B214" i="6"/>
  <c r="C214" i="6"/>
  <c r="D214" i="6"/>
  <c r="E214" i="6"/>
  <c r="B215" i="6"/>
  <c r="C215" i="6"/>
  <c r="D215" i="6"/>
  <c r="E215" i="6"/>
  <c r="B216" i="6"/>
  <c r="C216" i="6"/>
  <c r="D216" i="6"/>
  <c r="E216" i="6"/>
  <c r="B217" i="6"/>
  <c r="C217" i="6"/>
  <c r="D217" i="6"/>
  <c r="E217" i="6"/>
  <c r="B218" i="6"/>
  <c r="C218" i="6"/>
  <c r="D218" i="6"/>
  <c r="E218" i="6"/>
  <c r="B219" i="6"/>
  <c r="C219" i="6"/>
  <c r="D219" i="6"/>
  <c r="E219" i="6"/>
  <c r="B220" i="6"/>
  <c r="C220" i="6"/>
  <c r="D220" i="6"/>
  <c r="E220" i="6"/>
  <c r="B221" i="6"/>
  <c r="C221" i="6"/>
  <c r="D221" i="6"/>
  <c r="E221" i="6"/>
  <c r="B222" i="6"/>
  <c r="C222" i="6"/>
  <c r="D222" i="6"/>
  <c r="E222" i="6"/>
  <c r="B223" i="6"/>
  <c r="C223" i="6"/>
  <c r="D223" i="6"/>
  <c r="E223" i="6"/>
  <c r="B224" i="6"/>
  <c r="C224" i="6"/>
  <c r="D224" i="6"/>
  <c r="E224" i="6"/>
  <c r="B225" i="6"/>
  <c r="C225" i="6"/>
  <c r="D225" i="6"/>
  <c r="E225" i="6"/>
  <c r="B226" i="6"/>
  <c r="C226" i="6"/>
  <c r="D226" i="6"/>
  <c r="E226" i="6"/>
  <c r="B227" i="6"/>
  <c r="C227" i="6"/>
  <c r="D227" i="6"/>
  <c r="E227" i="6"/>
  <c r="B228" i="6"/>
  <c r="C228" i="6"/>
  <c r="D228" i="6"/>
  <c r="E228" i="6"/>
  <c r="B229" i="6"/>
  <c r="C229" i="6"/>
  <c r="D229" i="6"/>
  <c r="E229" i="6"/>
  <c r="B230" i="6"/>
  <c r="C230" i="6"/>
  <c r="D230" i="6"/>
  <c r="E230" i="6"/>
  <c r="B231" i="6"/>
  <c r="C231" i="6"/>
  <c r="D231" i="6"/>
  <c r="E231" i="6"/>
  <c r="B232" i="6"/>
  <c r="C232" i="6"/>
  <c r="D232" i="6"/>
  <c r="E232" i="6"/>
  <c r="B233" i="6"/>
  <c r="C233" i="6"/>
  <c r="D233" i="6"/>
  <c r="E233" i="6"/>
  <c r="B234" i="6"/>
  <c r="C234" i="6"/>
  <c r="D234" i="6"/>
  <c r="E234" i="6"/>
  <c r="B235" i="6"/>
  <c r="C235" i="6"/>
  <c r="D235" i="6"/>
  <c r="E235" i="6"/>
  <c r="B236" i="6"/>
  <c r="C236" i="6"/>
  <c r="D236" i="6"/>
  <c r="E236" i="6"/>
  <c r="B237" i="6"/>
  <c r="C237" i="6"/>
  <c r="D237" i="6"/>
  <c r="E237" i="6"/>
  <c r="B238" i="6"/>
  <c r="C238" i="6"/>
  <c r="D238" i="6"/>
  <c r="E238" i="6"/>
  <c r="B239" i="6"/>
  <c r="C239" i="6"/>
  <c r="D239" i="6"/>
  <c r="E239" i="6"/>
  <c r="B240" i="6"/>
  <c r="C240" i="6"/>
  <c r="D240" i="6"/>
  <c r="E240" i="6"/>
  <c r="B241" i="6"/>
  <c r="C241" i="6"/>
  <c r="D241" i="6"/>
  <c r="E241" i="6"/>
  <c r="B242" i="6"/>
  <c r="C242" i="6"/>
  <c r="D242" i="6"/>
  <c r="E242" i="6"/>
  <c r="B243" i="6"/>
  <c r="C243" i="6"/>
  <c r="D243" i="6"/>
  <c r="E243" i="6"/>
  <c r="B244" i="6"/>
  <c r="C244" i="6"/>
  <c r="D244" i="6"/>
  <c r="E244" i="6"/>
  <c r="B245" i="6"/>
  <c r="C245" i="6"/>
  <c r="D245" i="6"/>
  <c r="E245" i="6"/>
  <c r="B246" i="6"/>
  <c r="C246" i="6"/>
  <c r="D246" i="6"/>
  <c r="E246" i="6"/>
  <c r="B247" i="6"/>
  <c r="C247" i="6"/>
  <c r="D247" i="6"/>
  <c r="E247" i="6"/>
  <c r="B248" i="6"/>
  <c r="C248" i="6"/>
  <c r="D248" i="6"/>
  <c r="E248" i="6"/>
  <c r="B249" i="6"/>
  <c r="C249" i="6"/>
  <c r="D249" i="6"/>
  <c r="E249" i="6"/>
  <c r="B250" i="6"/>
  <c r="C250" i="6"/>
  <c r="D250" i="6"/>
  <c r="E250" i="6"/>
  <c r="B251" i="6"/>
  <c r="C251" i="6"/>
  <c r="D251" i="6"/>
  <c r="E251" i="6"/>
  <c r="B252" i="6"/>
  <c r="C252" i="6"/>
  <c r="D252" i="6"/>
  <c r="E252" i="6"/>
  <c r="B253" i="6"/>
  <c r="C253" i="6"/>
  <c r="D253" i="6"/>
  <c r="E253" i="6"/>
  <c r="B254" i="6"/>
  <c r="C254" i="6"/>
  <c r="D254" i="6"/>
  <c r="E254" i="6"/>
  <c r="B255" i="6"/>
  <c r="C255" i="6"/>
  <c r="D255" i="6"/>
  <c r="E255" i="6"/>
  <c r="B256" i="6"/>
  <c r="C256" i="6"/>
  <c r="D256" i="6"/>
  <c r="E256" i="6"/>
  <c r="B257" i="6"/>
  <c r="C257" i="6"/>
  <c r="D257" i="6"/>
  <c r="E257" i="6"/>
  <c r="B258" i="6"/>
  <c r="C258" i="6"/>
  <c r="D258" i="6"/>
  <c r="E258" i="6"/>
  <c r="B259" i="6"/>
  <c r="C259" i="6"/>
  <c r="D259" i="6"/>
  <c r="E259" i="6"/>
  <c r="B260" i="6"/>
  <c r="C260" i="6"/>
  <c r="D260" i="6"/>
  <c r="E260" i="6"/>
  <c r="B261" i="6"/>
  <c r="C261" i="6"/>
  <c r="D261" i="6"/>
  <c r="E261" i="6"/>
  <c r="B262" i="6"/>
  <c r="C262" i="6"/>
  <c r="D262" i="6"/>
  <c r="E262" i="6"/>
  <c r="B263" i="6"/>
  <c r="C263" i="6"/>
  <c r="D263" i="6"/>
  <c r="E263" i="6"/>
  <c r="B264" i="6"/>
  <c r="C264" i="6"/>
  <c r="D264" i="6"/>
  <c r="E264" i="6"/>
  <c r="B265" i="6"/>
  <c r="C265" i="6"/>
  <c r="D265" i="6"/>
  <c r="E265" i="6"/>
  <c r="B266" i="6"/>
  <c r="C266" i="6"/>
  <c r="D266" i="6"/>
  <c r="E266" i="6"/>
  <c r="B267" i="6"/>
  <c r="C267" i="6"/>
  <c r="D267" i="6"/>
  <c r="E267" i="6"/>
  <c r="B268" i="6"/>
  <c r="C268" i="6"/>
  <c r="D268" i="6"/>
  <c r="E268" i="6"/>
  <c r="B269" i="6"/>
  <c r="C269" i="6"/>
  <c r="D269" i="6"/>
  <c r="E269" i="6"/>
  <c r="B270" i="6"/>
  <c r="C270" i="6"/>
  <c r="D270" i="6"/>
  <c r="E270" i="6"/>
  <c r="B271" i="6"/>
  <c r="C271" i="6"/>
  <c r="D271" i="6"/>
  <c r="E271" i="6"/>
  <c r="B272" i="6"/>
  <c r="C272" i="6"/>
  <c r="D272" i="6"/>
  <c r="E272" i="6"/>
  <c r="B273" i="6"/>
  <c r="C273" i="6"/>
  <c r="D273" i="6"/>
  <c r="E273" i="6"/>
  <c r="B274" i="6"/>
  <c r="C274" i="6"/>
  <c r="D274" i="6"/>
  <c r="E274" i="6"/>
  <c r="B275" i="6"/>
  <c r="C275" i="6"/>
  <c r="D275" i="6"/>
  <c r="E275" i="6"/>
  <c r="B276" i="6"/>
  <c r="C276" i="6"/>
  <c r="D276" i="6"/>
  <c r="E276" i="6"/>
  <c r="B277" i="6"/>
  <c r="C277" i="6"/>
  <c r="D277" i="6"/>
  <c r="E277" i="6"/>
  <c r="B278" i="6"/>
  <c r="C278" i="6"/>
  <c r="D278" i="6"/>
  <c r="E278" i="6"/>
  <c r="B279" i="6"/>
  <c r="C279" i="6"/>
  <c r="D279" i="6"/>
  <c r="E279" i="6"/>
  <c r="B280" i="6"/>
  <c r="C280" i="6"/>
  <c r="D280" i="6"/>
  <c r="E280" i="6"/>
  <c r="B281" i="6"/>
  <c r="C281" i="6"/>
  <c r="D281" i="6"/>
  <c r="E281" i="6"/>
  <c r="B282" i="6"/>
  <c r="C282" i="6"/>
  <c r="D282" i="6"/>
  <c r="E282" i="6"/>
  <c r="B283" i="6"/>
  <c r="C283" i="6"/>
  <c r="D283" i="6"/>
  <c r="E283" i="6"/>
  <c r="B284" i="6"/>
  <c r="C284" i="6"/>
  <c r="D284" i="6"/>
  <c r="E284" i="6"/>
  <c r="B285" i="6"/>
  <c r="C285" i="6"/>
  <c r="D285" i="6"/>
  <c r="E285" i="6"/>
  <c r="B286" i="6"/>
  <c r="C286" i="6"/>
  <c r="D286" i="6"/>
  <c r="E286" i="6"/>
  <c r="B287" i="6"/>
  <c r="C287" i="6"/>
  <c r="D287" i="6"/>
  <c r="E287" i="6"/>
  <c r="B288" i="6"/>
  <c r="C288" i="6"/>
  <c r="D288" i="6"/>
  <c r="E288" i="6"/>
  <c r="B289" i="6"/>
  <c r="C289" i="6"/>
  <c r="D289" i="6"/>
  <c r="E289" i="6"/>
  <c r="B290" i="6"/>
  <c r="C290" i="6"/>
  <c r="D290" i="6"/>
  <c r="E290" i="6"/>
  <c r="B291" i="6"/>
  <c r="C291" i="6"/>
  <c r="D291" i="6"/>
  <c r="E291" i="6"/>
  <c r="B292" i="6"/>
  <c r="C292" i="6"/>
  <c r="D292" i="6"/>
  <c r="E292" i="6"/>
  <c r="B293" i="6"/>
  <c r="C293" i="6"/>
  <c r="D293" i="6"/>
  <c r="E293" i="6"/>
  <c r="B294" i="6"/>
  <c r="C294" i="6"/>
  <c r="D294" i="6"/>
  <c r="E294" i="6"/>
  <c r="B295" i="6"/>
  <c r="C295" i="6"/>
  <c r="D295" i="6"/>
  <c r="E295" i="6"/>
  <c r="B296" i="6"/>
  <c r="C296" i="6"/>
  <c r="D296" i="6"/>
  <c r="E296" i="6"/>
  <c r="B297" i="6"/>
  <c r="C297" i="6"/>
  <c r="D297" i="6"/>
  <c r="E297" i="6"/>
  <c r="B298" i="6"/>
  <c r="C298" i="6"/>
  <c r="D298" i="6"/>
  <c r="E298" i="6"/>
  <c r="B299" i="6"/>
  <c r="C299" i="6"/>
  <c r="D299" i="6"/>
  <c r="E299" i="6"/>
  <c r="B300" i="6"/>
  <c r="C300" i="6"/>
  <c r="D300" i="6"/>
  <c r="E300" i="6"/>
  <c r="B301" i="6"/>
  <c r="C301" i="6"/>
  <c r="D301" i="6"/>
  <c r="E301" i="6"/>
  <c r="B302" i="6"/>
  <c r="C302" i="6"/>
  <c r="D302" i="6"/>
  <c r="E302" i="6"/>
  <c r="B303" i="6"/>
  <c r="C303" i="6"/>
  <c r="D303" i="6"/>
  <c r="E303" i="6"/>
  <c r="B304" i="6"/>
  <c r="C304" i="6"/>
  <c r="D304" i="6"/>
  <c r="E304" i="6"/>
  <c r="B305" i="6"/>
  <c r="C305" i="6"/>
  <c r="D305" i="6"/>
  <c r="E305" i="6"/>
  <c r="B306" i="6"/>
  <c r="C306" i="6"/>
  <c r="D306" i="6"/>
  <c r="E306" i="6"/>
  <c r="B307" i="6"/>
  <c r="C307" i="6"/>
  <c r="D307" i="6"/>
  <c r="E307" i="6"/>
  <c r="B308" i="6"/>
  <c r="C308" i="6"/>
  <c r="D308" i="6"/>
  <c r="E308" i="6"/>
  <c r="B309" i="6"/>
  <c r="C309" i="6"/>
  <c r="D309" i="6"/>
  <c r="E309" i="6"/>
  <c r="B310" i="6"/>
  <c r="C310" i="6"/>
  <c r="D310" i="6"/>
  <c r="E310" i="6"/>
  <c r="B311" i="6"/>
  <c r="C311" i="6"/>
  <c r="D311" i="6"/>
  <c r="E311" i="6"/>
  <c r="B312" i="6"/>
  <c r="C312" i="6"/>
  <c r="D312" i="6"/>
  <c r="E312" i="6"/>
  <c r="B313" i="6"/>
  <c r="C313" i="6"/>
  <c r="D313" i="6"/>
  <c r="E313" i="6"/>
  <c r="B314" i="6"/>
  <c r="C314" i="6"/>
  <c r="D314" i="6"/>
  <c r="E314" i="6"/>
  <c r="B315" i="6"/>
  <c r="C315" i="6"/>
  <c r="D315" i="6"/>
  <c r="E315" i="6"/>
  <c r="B316" i="6"/>
  <c r="C316" i="6"/>
  <c r="D316" i="6"/>
  <c r="E316" i="6"/>
  <c r="B317" i="6"/>
  <c r="C317" i="6"/>
  <c r="D317" i="6"/>
  <c r="E317" i="6"/>
  <c r="B318" i="6"/>
  <c r="C318" i="6"/>
  <c r="D318" i="6"/>
  <c r="E318" i="6"/>
  <c r="B319" i="6"/>
  <c r="C319" i="6"/>
  <c r="D319" i="6"/>
  <c r="E319" i="6"/>
  <c r="B320" i="6"/>
  <c r="C320" i="6"/>
  <c r="D320" i="6"/>
  <c r="E320" i="6"/>
  <c r="B321" i="6"/>
  <c r="C321" i="6"/>
  <c r="D321" i="6"/>
  <c r="E321" i="6"/>
  <c r="B322" i="6"/>
  <c r="C322" i="6"/>
  <c r="D322" i="6"/>
  <c r="E322" i="6"/>
  <c r="B323" i="6"/>
  <c r="C323" i="6"/>
  <c r="D323" i="6"/>
  <c r="E323" i="6"/>
  <c r="B324" i="6"/>
  <c r="C324" i="6"/>
  <c r="D324" i="6"/>
  <c r="E324" i="6"/>
  <c r="B325" i="6"/>
  <c r="C325" i="6"/>
  <c r="D325" i="6"/>
  <c r="E325" i="6"/>
  <c r="B326" i="6"/>
  <c r="C326" i="6"/>
  <c r="D326" i="6"/>
  <c r="E326" i="6"/>
  <c r="B327" i="6"/>
  <c r="C327" i="6"/>
  <c r="D327" i="6"/>
  <c r="E327" i="6"/>
  <c r="B328" i="6"/>
  <c r="C328" i="6"/>
  <c r="D328" i="6"/>
  <c r="E328" i="6"/>
  <c r="B329" i="6"/>
  <c r="C329" i="6"/>
  <c r="D329" i="6"/>
  <c r="E329" i="6"/>
  <c r="B330" i="6"/>
  <c r="C330" i="6"/>
  <c r="D330" i="6"/>
  <c r="E330" i="6"/>
  <c r="B331" i="6"/>
  <c r="C331" i="6"/>
  <c r="D331" i="6"/>
  <c r="E331" i="6"/>
  <c r="B332" i="6"/>
  <c r="C332" i="6"/>
  <c r="D332" i="6"/>
  <c r="E332" i="6"/>
  <c r="B333" i="6"/>
  <c r="C333" i="6"/>
  <c r="D333" i="6"/>
  <c r="E333" i="6"/>
  <c r="B334" i="6"/>
  <c r="C334" i="6"/>
  <c r="D334" i="6"/>
  <c r="E334" i="6"/>
  <c r="B335" i="6"/>
  <c r="C335" i="6"/>
  <c r="D335" i="6"/>
  <c r="E335" i="6"/>
  <c r="B336" i="6"/>
  <c r="C336" i="6"/>
  <c r="D336" i="6"/>
  <c r="E336" i="6"/>
  <c r="B337" i="6"/>
  <c r="C337" i="6"/>
  <c r="D337" i="6"/>
  <c r="E337" i="6"/>
  <c r="B338" i="6"/>
  <c r="C338" i="6"/>
  <c r="D338" i="6"/>
  <c r="E338" i="6"/>
  <c r="B339" i="6"/>
  <c r="C339" i="6"/>
  <c r="D339" i="6"/>
  <c r="E339" i="6"/>
  <c r="B340" i="6"/>
  <c r="C340" i="6"/>
  <c r="D340" i="6"/>
  <c r="E340" i="6"/>
  <c r="B341" i="6"/>
  <c r="C341" i="6"/>
  <c r="D341" i="6"/>
  <c r="E341" i="6"/>
  <c r="B342" i="6"/>
  <c r="C342" i="6"/>
  <c r="D342" i="6"/>
  <c r="E342" i="6"/>
  <c r="B343" i="6"/>
  <c r="C343" i="6"/>
  <c r="D343" i="6"/>
  <c r="E343" i="6"/>
  <c r="B344" i="6"/>
  <c r="C344" i="6"/>
  <c r="D344" i="6"/>
  <c r="E344" i="6"/>
  <c r="B345" i="6"/>
  <c r="C345" i="6"/>
  <c r="D345" i="6"/>
  <c r="E345" i="6"/>
  <c r="B346" i="6"/>
  <c r="C346" i="6"/>
  <c r="D346" i="6"/>
  <c r="E346" i="6"/>
  <c r="B347" i="6"/>
  <c r="C347" i="6"/>
  <c r="D347" i="6"/>
  <c r="E347" i="6"/>
  <c r="B348" i="6"/>
  <c r="C348" i="6"/>
  <c r="D348" i="6"/>
  <c r="E348" i="6"/>
  <c r="B349" i="6"/>
  <c r="C349" i="6"/>
  <c r="D349" i="6"/>
  <c r="E349" i="6"/>
  <c r="B350" i="6"/>
  <c r="C350" i="6"/>
  <c r="D350" i="6"/>
  <c r="E350" i="6"/>
  <c r="B351" i="6"/>
  <c r="C351" i="6"/>
  <c r="D351" i="6"/>
  <c r="E351" i="6"/>
  <c r="B352" i="6"/>
  <c r="C352" i="6"/>
  <c r="D352" i="6"/>
  <c r="E352" i="6"/>
  <c r="B353" i="6"/>
  <c r="C353" i="6"/>
  <c r="D353" i="6"/>
  <c r="E353" i="6"/>
  <c r="B354" i="6"/>
  <c r="C354" i="6"/>
  <c r="D354" i="6"/>
  <c r="E354" i="6"/>
  <c r="B355" i="6"/>
  <c r="C355" i="6"/>
  <c r="D355" i="6"/>
  <c r="E355" i="6"/>
  <c r="B356" i="6"/>
  <c r="C356" i="6"/>
  <c r="D356" i="6"/>
  <c r="E356" i="6"/>
  <c r="B357" i="6"/>
  <c r="C357" i="6"/>
  <c r="D357" i="6"/>
  <c r="E357" i="6"/>
  <c r="B358" i="6"/>
  <c r="C358" i="6"/>
  <c r="D358" i="6"/>
  <c r="E358" i="6"/>
  <c r="B359" i="6"/>
  <c r="C359" i="6"/>
  <c r="D359" i="6"/>
  <c r="E359" i="6"/>
  <c r="B360" i="6"/>
  <c r="C360" i="6"/>
  <c r="D360" i="6"/>
  <c r="E360" i="6"/>
  <c r="B361" i="6"/>
  <c r="C361" i="6"/>
  <c r="D361" i="6"/>
  <c r="E361" i="6"/>
  <c r="B362" i="6"/>
  <c r="C362" i="6"/>
  <c r="D362" i="6"/>
  <c r="E362" i="6"/>
  <c r="B363" i="6"/>
  <c r="C363" i="6"/>
  <c r="D363" i="6"/>
  <c r="E363" i="6"/>
  <c r="B364" i="6"/>
  <c r="C364" i="6"/>
  <c r="D364" i="6"/>
  <c r="E364" i="6"/>
  <c r="B365" i="6"/>
  <c r="C365" i="6"/>
  <c r="D365" i="6"/>
  <c r="E365" i="6"/>
  <c r="B366" i="6"/>
  <c r="C366" i="6"/>
  <c r="D366" i="6"/>
  <c r="E366" i="6"/>
  <c r="B367" i="6"/>
  <c r="C367" i="6"/>
  <c r="D367" i="6"/>
  <c r="E367" i="6"/>
  <c r="B368" i="6"/>
  <c r="C368" i="6"/>
  <c r="D368" i="6"/>
  <c r="E368" i="6"/>
  <c r="B369" i="6"/>
  <c r="C369" i="6"/>
  <c r="D369" i="6"/>
  <c r="E369" i="6"/>
  <c r="B370" i="6"/>
  <c r="C370" i="6"/>
  <c r="D370" i="6"/>
  <c r="E370" i="6"/>
  <c r="B371" i="6"/>
  <c r="C371" i="6"/>
  <c r="D371" i="6"/>
  <c r="E371" i="6"/>
  <c r="B372" i="6"/>
  <c r="C372" i="6"/>
  <c r="D372" i="6"/>
  <c r="E372" i="6"/>
  <c r="B373" i="6"/>
  <c r="C373" i="6"/>
  <c r="D373" i="6"/>
  <c r="E373" i="6"/>
  <c r="B374" i="6"/>
  <c r="C374" i="6"/>
  <c r="D374" i="6"/>
  <c r="E374" i="6"/>
  <c r="B375" i="6"/>
  <c r="C375" i="6"/>
  <c r="D375" i="6"/>
  <c r="E375" i="6"/>
  <c r="B376" i="6"/>
  <c r="C376" i="6"/>
  <c r="D376" i="6"/>
  <c r="E376" i="6"/>
  <c r="B377" i="6"/>
  <c r="C377" i="6"/>
  <c r="D377" i="6"/>
  <c r="E377" i="6"/>
  <c r="B378" i="6"/>
  <c r="C378" i="6"/>
  <c r="D378" i="6"/>
  <c r="E378" i="6"/>
  <c r="B379" i="6"/>
  <c r="C379" i="6"/>
  <c r="D379" i="6"/>
  <c r="E379" i="6"/>
  <c r="B380" i="6"/>
  <c r="C380" i="6"/>
  <c r="D380" i="6"/>
  <c r="E380" i="6"/>
  <c r="B381" i="6"/>
  <c r="C381" i="6"/>
  <c r="D381" i="6"/>
  <c r="E381" i="6"/>
  <c r="B382" i="6"/>
  <c r="C382" i="6"/>
  <c r="D382" i="6"/>
  <c r="E382" i="6"/>
  <c r="B383" i="6"/>
  <c r="C383" i="6"/>
  <c r="D383" i="6"/>
  <c r="E383" i="6"/>
  <c r="B384" i="6"/>
  <c r="C384" i="6"/>
  <c r="D384" i="6"/>
  <c r="E384" i="6"/>
  <c r="B385" i="6"/>
  <c r="C385" i="6"/>
  <c r="D385" i="6"/>
  <c r="E385" i="6"/>
  <c r="B386" i="6"/>
  <c r="C386" i="6"/>
  <c r="D386" i="6"/>
  <c r="E386" i="6"/>
  <c r="B387" i="6"/>
  <c r="C387" i="6"/>
  <c r="D387" i="6"/>
  <c r="E387" i="6"/>
  <c r="B388" i="6"/>
  <c r="C388" i="6"/>
  <c r="D388" i="6"/>
  <c r="E388" i="6"/>
  <c r="B389" i="6"/>
  <c r="C389" i="6"/>
  <c r="D389" i="6"/>
  <c r="E389" i="6"/>
  <c r="B390" i="6"/>
  <c r="C390" i="6"/>
  <c r="D390" i="6"/>
  <c r="E390" i="6"/>
  <c r="B391" i="6"/>
  <c r="C391" i="6"/>
  <c r="D391" i="6"/>
  <c r="E391" i="6"/>
  <c r="B392" i="6"/>
  <c r="C392" i="6"/>
  <c r="D392" i="6"/>
  <c r="E392" i="6"/>
  <c r="B393" i="6"/>
  <c r="C393" i="6"/>
  <c r="D393" i="6"/>
  <c r="E393" i="6"/>
  <c r="B394" i="6"/>
  <c r="C394" i="6"/>
  <c r="D394" i="6"/>
  <c r="E394" i="6"/>
  <c r="B395" i="6"/>
  <c r="C395" i="6"/>
  <c r="D395" i="6"/>
  <c r="E395" i="6"/>
  <c r="B396" i="6"/>
  <c r="C396" i="6"/>
  <c r="D396" i="6"/>
  <c r="E396" i="6"/>
  <c r="B397" i="6"/>
  <c r="C397" i="6"/>
  <c r="D397" i="6"/>
  <c r="E397" i="6"/>
  <c r="B398" i="6"/>
  <c r="C398" i="6"/>
  <c r="D398" i="6"/>
  <c r="E398" i="6"/>
  <c r="B399" i="6"/>
  <c r="C399" i="6"/>
  <c r="D399" i="6"/>
  <c r="E399" i="6"/>
  <c r="B400" i="6"/>
  <c r="C400" i="6"/>
  <c r="D400" i="6"/>
  <c r="E400" i="6"/>
  <c r="B401" i="6"/>
  <c r="C401" i="6"/>
  <c r="D401" i="6"/>
  <c r="E401" i="6"/>
  <c r="B402" i="6"/>
  <c r="C402" i="6"/>
  <c r="D402" i="6"/>
  <c r="E402" i="6"/>
  <c r="B403" i="6"/>
  <c r="C403" i="6"/>
  <c r="D403" i="6"/>
  <c r="E403" i="6"/>
  <c r="B404" i="6"/>
  <c r="C404" i="6"/>
  <c r="D404" i="6"/>
  <c r="E404" i="6"/>
  <c r="B405" i="6"/>
  <c r="C405" i="6"/>
  <c r="D405" i="6"/>
  <c r="E405" i="6"/>
  <c r="B406" i="6"/>
  <c r="C406" i="6"/>
  <c r="D406" i="6"/>
  <c r="E406" i="6"/>
  <c r="B407" i="6"/>
  <c r="C407" i="6"/>
  <c r="D407" i="6"/>
  <c r="E407" i="6"/>
  <c r="B408" i="6"/>
  <c r="C408" i="6"/>
  <c r="D408" i="6"/>
  <c r="E408" i="6"/>
  <c r="B409" i="6"/>
  <c r="C409" i="6"/>
  <c r="D409" i="6"/>
  <c r="E409" i="6"/>
  <c r="B410" i="6"/>
  <c r="C410" i="6"/>
  <c r="D410" i="6"/>
  <c r="E410" i="6"/>
  <c r="B411" i="6"/>
  <c r="C411" i="6"/>
  <c r="D411" i="6"/>
  <c r="E411" i="6"/>
  <c r="B412" i="6"/>
  <c r="C412" i="6"/>
  <c r="D412" i="6"/>
  <c r="E412" i="6"/>
  <c r="B413" i="6"/>
  <c r="C413" i="6"/>
  <c r="D413" i="6"/>
  <c r="E413" i="6"/>
  <c r="B414" i="6"/>
  <c r="C414" i="6"/>
  <c r="D414" i="6"/>
  <c r="E414" i="6"/>
  <c r="B415" i="6"/>
  <c r="C415" i="6"/>
  <c r="D415" i="6"/>
  <c r="E415" i="6"/>
  <c r="B416" i="6"/>
  <c r="C416" i="6"/>
  <c r="D416" i="6"/>
  <c r="E416" i="6"/>
  <c r="B417" i="6"/>
  <c r="C417" i="6"/>
  <c r="D417" i="6"/>
  <c r="E417" i="6"/>
  <c r="B418" i="6"/>
  <c r="C418" i="6"/>
  <c r="D418" i="6"/>
  <c r="E418" i="6"/>
  <c r="B419" i="6"/>
  <c r="C419" i="6"/>
  <c r="D419" i="6"/>
  <c r="E419" i="6"/>
  <c r="B420" i="6"/>
  <c r="C420" i="6"/>
  <c r="D420" i="6"/>
  <c r="E420" i="6"/>
  <c r="B421" i="6"/>
  <c r="C421" i="6"/>
  <c r="D421" i="6"/>
  <c r="E421" i="6"/>
  <c r="B422" i="6"/>
  <c r="C422" i="6"/>
  <c r="D422" i="6"/>
  <c r="E422" i="6"/>
  <c r="B423" i="6"/>
  <c r="C423" i="6"/>
  <c r="D423" i="6"/>
  <c r="E423" i="6"/>
  <c r="B424" i="6"/>
  <c r="C424" i="6"/>
  <c r="D424" i="6"/>
  <c r="E424" i="6"/>
  <c r="B425" i="6"/>
  <c r="C425" i="6"/>
  <c r="D425" i="6"/>
  <c r="E425" i="6"/>
  <c r="B426" i="6"/>
  <c r="C426" i="6"/>
  <c r="D426" i="6"/>
  <c r="E426" i="6"/>
  <c r="B427" i="6"/>
  <c r="C427" i="6"/>
  <c r="D427" i="6"/>
  <c r="E427" i="6"/>
  <c r="B428" i="6"/>
  <c r="C428" i="6"/>
  <c r="D428" i="6"/>
  <c r="E428" i="6"/>
  <c r="B429" i="6"/>
  <c r="C429" i="6"/>
  <c r="D429" i="6"/>
  <c r="E429" i="6"/>
  <c r="B430" i="6"/>
  <c r="C430" i="6"/>
  <c r="D430" i="6"/>
  <c r="E430" i="6"/>
  <c r="B431" i="6"/>
  <c r="C431" i="6"/>
  <c r="D431" i="6"/>
  <c r="E431" i="6"/>
  <c r="B432" i="6"/>
  <c r="C432" i="6"/>
  <c r="D432" i="6"/>
  <c r="E432" i="6"/>
  <c r="B433" i="6"/>
  <c r="C433" i="6"/>
  <c r="D433" i="6"/>
  <c r="E433" i="6"/>
  <c r="B434" i="6"/>
  <c r="C434" i="6"/>
  <c r="D434" i="6"/>
  <c r="E434" i="6"/>
  <c r="B435" i="6"/>
  <c r="C435" i="6"/>
  <c r="D435" i="6"/>
  <c r="E435" i="6"/>
  <c r="B436" i="6"/>
  <c r="C436" i="6"/>
  <c r="D436" i="6"/>
  <c r="E436" i="6"/>
  <c r="B437" i="6"/>
  <c r="C437" i="6"/>
  <c r="D437" i="6"/>
  <c r="E437" i="6"/>
  <c r="B438" i="6"/>
  <c r="C438" i="6"/>
  <c r="D438" i="6"/>
  <c r="E438" i="6"/>
  <c r="B439" i="6"/>
  <c r="C439" i="6"/>
  <c r="D439" i="6"/>
  <c r="E439" i="6"/>
  <c r="B440" i="6"/>
  <c r="C440" i="6"/>
  <c r="D440" i="6"/>
  <c r="E440" i="6"/>
  <c r="B441" i="6"/>
  <c r="C441" i="6"/>
  <c r="D441" i="6"/>
  <c r="E441" i="6"/>
  <c r="B442" i="6"/>
  <c r="C442" i="6"/>
  <c r="D442" i="6"/>
  <c r="E442" i="6"/>
  <c r="B443" i="6"/>
  <c r="C443" i="6"/>
  <c r="D443" i="6"/>
  <c r="E443" i="6"/>
  <c r="B444" i="6"/>
  <c r="C444" i="6"/>
  <c r="D444" i="6"/>
  <c r="E444" i="6"/>
  <c r="B445" i="6"/>
  <c r="C445" i="6"/>
  <c r="D445" i="6"/>
  <c r="E445" i="6"/>
  <c r="B446" i="6"/>
  <c r="C446" i="6"/>
  <c r="D446" i="6"/>
  <c r="E446" i="6"/>
  <c r="B447" i="6"/>
  <c r="C447" i="6"/>
  <c r="D447" i="6"/>
  <c r="E447" i="6"/>
  <c r="B448" i="6"/>
  <c r="C448" i="6"/>
  <c r="D448" i="6"/>
  <c r="E448" i="6"/>
  <c r="B449" i="6"/>
  <c r="C449" i="6"/>
  <c r="D449" i="6"/>
  <c r="E449" i="6"/>
  <c r="B450" i="6"/>
  <c r="C450" i="6"/>
  <c r="D450" i="6"/>
  <c r="E450" i="6"/>
  <c r="B451" i="6"/>
  <c r="C451" i="6"/>
  <c r="D451" i="6"/>
  <c r="E451" i="6"/>
  <c r="B452" i="6"/>
  <c r="C452" i="6"/>
  <c r="D452" i="6"/>
  <c r="E452" i="6"/>
  <c r="B453" i="6"/>
  <c r="C453" i="6"/>
  <c r="D453" i="6"/>
  <c r="E453" i="6"/>
  <c r="B454" i="6"/>
  <c r="C454" i="6"/>
  <c r="D454" i="6"/>
  <c r="E454" i="6"/>
  <c r="B455" i="6"/>
  <c r="C455" i="6"/>
  <c r="D455" i="6"/>
  <c r="E455" i="6"/>
  <c r="B456" i="6"/>
  <c r="C456" i="6"/>
  <c r="D456" i="6"/>
  <c r="E456" i="6"/>
  <c r="B457" i="6"/>
  <c r="C457" i="6"/>
  <c r="D457" i="6"/>
  <c r="E457" i="6"/>
  <c r="B458" i="6"/>
  <c r="C458" i="6"/>
  <c r="D458" i="6"/>
  <c r="E458" i="6"/>
  <c r="B459" i="6"/>
  <c r="C459" i="6"/>
  <c r="D459" i="6"/>
  <c r="E459" i="6"/>
  <c r="B460" i="6"/>
  <c r="C460" i="6"/>
  <c r="D460" i="6"/>
  <c r="E460" i="6"/>
  <c r="B461" i="6"/>
  <c r="C461" i="6"/>
  <c r="D461" i="6"/>
  <c r="E461" i="6"/>
  <c r="B462" i="6"/>
  <c r="C462" i="6"/>
  <c r="D462" i="6"/>
  <c r="E462" i="6"/>
  <c r="B463" i="6"/>
  <c r="C463" i="6"/>
  <c r="D463" i="6"/>
  <c r="E463" i="6"/>
  <c r="B464" i="6"/>
  <c r="C464" i="6"/>
  <c r="D464" i="6"/>
  <c r="E464" i="6"/>
  <c r="B465" i="6"/>
  <c r="C465" i="6"/>
  <c r="D465" i="6"/>
  <c r="E465" i="6"/>
  <c r="B466" i="6"/>
  <c r="C466" i="6"/>
  <c r="D466" i="6"/>
  <c r="E466" i="6"/>
  <c r="B467" i="6"/>
  <c r="C467" i="6"/>
  <c r="D467" i="6"/>
  <c r="E467" i="6"/>
  <c r="B468" i="6"/>
  <c r="C468" i="6"/>
  <c r="D468" i="6"/>
  <c r="E468" i="6"/>
  <c r="B469" i="6"/>
  <c r="C469" i="6"/>
  <c r="D469" i="6"/>
  <c r="E469" i="6"/>
  <c r="B470" i="6"/>
  <c r="C470" i="6"/>
  <c r="D470" i="6"/>
  <c r="E470" i="6"/>
  <c r="B471" i="6"/>
  <c r="C471" i="6"/>
  <c r="D471" i="6"/>
  <c r="E471" i="6"/>
  <c r="B472" i="6"/>
  <c r="C472" i="6"/>
  <c r="D472" i="6"/>
  <c r="E472" i="6"/>
  <c r="B473" i="6"/>
  <c r="C473" i="6"/>
  <c r="D473" i="6"/>
  <c r="E473" i="6"/>
  <c r="B474" i="6"/>
  <c r="C474" i="6"/>
  <c r="D474" i="6"/>
  <c r="E474" i="6"/>
  <c r="B475" i="6"/>
  <c r="C475" i="6"/>
  <c r="D475" i="6"/>
  <c r="E475" i="6"/>
  <c r="B476" i="6"/>
  <c r="C476" i="6"/>
  <c r="D476" i="6"/>
  <c r="E476" i="6"/>
  <c r="B477" i="6"/>
  <c r="C477" i="6"/>
  <c r="D477" i="6"/>
  <c r="E477" i="6"/>
  <c r="B478" i="6"/>
  <c r="C478" i="6"/>
  <c r="D478" i="6"/>
  <c r="E478" i="6"/>
  <c r="B479" i="6"/>
  <c r="C479" i="6"/>
  <c r="D479" i="6"/>
  <c r="E479" i="6"/>
  <c r="B480" i="6"/>
  <c r="C480" i="6"/>
  <c r="D480" i="6"/>
  <c r="E480" i="6"/>
  <c r="B481" i="6"/>
  <c r="C481" i="6"/>
  <c r="D481" i="6"/>
  <c r="E481" i="6"/>
  <c r="B482" i="6"/>
  <c r="C482" i="6"/>
  <c r="D482" i="6"/>
  <c r="E482" i="6"/>
  <c r="B483" i="6"/>
  <c r="C483" i="6"/>
  <c r="D483" i="6"/>
  <c r="E483" i="6"/>
  <c r="B484" i="6"/>
  <c r="C484" i="6"/>
  <c r="D484" i="6"/>
  <c r="E484" i="6"/>
  <c r="B485" i="6"/>
  <c r="C485" i="6"/>
  <c r="D485" i="6"/>
  <c r="E485" i="6"/>
  <c r="B486" i="6"/>
  <c r="C486" i="6"/>
  <c r="D486" i="6"/>
  <c r="E486" i="6"/>
  <c r="B487" i="6"/>
  <c r="C487" i="6"/>
  <c r="D487" i="6"/>
  <c r="E487" i="6"/>
  <c r="B488" i="6"/>
  <c r="C488" i="6"/>
  <c r="D488" i="6"/>
  <c r="E488" i="6"/>
  <c r="B489" i="6"/>
  <c r="C489" i="6"/>
  <c r="D489" i="6"/>
  <c r="E489" i="6"/>
  <c r="B490" i="6"/>
  <c r="C490" i="6"/>
  <c r="D490" i="6"/>
  <c r="E490" i="6"/>
  <c r="B491" i="6"/>
  <c r="C491" i="6"/>
  <c r="D491" i="6"/>
  <c r="E491" i="6"/>
  <c r="B492" i="6"/>
  <c r="C492" i="6"/>
  <c r="D492" i="6"/>
  <c r="E492" i="6"/>
  <c r="B493" i="6"/>
  <c r="C493" i="6"/>
  <c r="D493" i="6"/>
  <c r="E493" i="6"/>
  <c r="B494" i="6"/>
  <c r="C494" i="6"/>
  <c r="D494" i="6"/>
  <c r="E494" i="6"/>
  <c r="B495" i="6"/>
  <c r="C495" i="6"/>
  <c r="D495" i="6"/>
  <c r="E495" i="6"/>
  <c r="B496" i="6"/>
  <c r="C496" i="6"/>
  <c r="D496" i="6"/>
  <c r="E496" i="6"/>
  <c r="B497" i="6"/>
  <c r="C497" i="6"/>
  <c r="D497" i="6"/>
  <c r="E497" i="6"/>
  <c r="B498" i="6"/>
  <c r="C498" i="6"/>
  <c r="D498" i="6"/>
  <c r="E498" i="6"/>
  <c r="B499" i="6"/>
  <c r="C499" i="6"/>
  <c r="D499" i="6"/>
  <c r="E499" i="6"/>
  <c r="B500" i="6"/>
  <c r="C500" i="6"/>
  <c r="D500" i="6"/>
  <c r="E500" i="6"/>
  <c r="C5" i="6"/>
  <c r="D5" i="6"/>
  <c r="E5" i="6"/>
  <c r="B5" i="6"/>
  <c r="F10" i="1"/>
  <c r="F9" i="1"/>
  <c r="F11" i="4"/>
  <c r="F10" i="4"/>
  <c r="F9" i="4"/>
  <c r="F8" i="4"/>
  <c r="I34" i="4"/>
  <c r="D28" i="8"/>
  <c r="I31" i="4"/>
  <c r="G13" i="4"/>
  <c r="F5" i="2" l="1"/>
  <c r="D13" i="8" l="1"/>
  <c r="F29" i="4"/>
  <c r="F28" i="4"/>
  <c r="F27" i="4"/>
  <c r="F26" i="4"/>
  <c r="F25" i="4"/>
  <c r="F24" i="4"/>
  <c r="F23" i="4"/>
  <c r="F22" i="4"/>
  <c r="F21" i="4"/>
  <c r="F20" i="4"/>
  <c r="F19" i="4"/>
  <c r="F18" i="4"/>
  <c r="G15" i="4"/>
  <c r="G14" i="4"/>
  <c r="G24" i="6"/>
  <c r="H24" i="6" s="1"/>
  <c r="AG24" i="2" s="1"/>
  <c r="G23" i="6"/>
  <c r="H23" i="6" s="1"/>
  <c r="AG23" i="2" s="1"/>
  <c r="G22" i="6"/>
  <c r="H22" i="6" s="1"/>
  <c r="AG22" i="2" s="1"/>
  <c r="G21" i="6"/>
  <c r="H21" i="6" s="1"/>
  <c r="AG21" i="2" s="1"/>
  <c r="G20" i="6"/>
  <c r="H20" i="6" s="1"/>
  <c r="AG20" i="2" s="1"/>
  <c r="G19" i="6"/>
  <c r="H19" i="6" s="1"/>
  <c r="AG19" i="2" s="1"/>
  <c r="G18" i="6"/>
  <c r="H18" i="6" s="1"/>
  <c r="AG18" i="2" s="1"/>
  <c r="G17" i="6"/>
  <c r="H17" i="6" s="1"/>
  <c r="AG17" i="2" s="1"/>
  <c r="G16" i="6"/>
  <c r="H16" i="6" s="1"/>
  <c r="AG16" i="2" s="1"/>
  <c r="G15" i="6"/>
  <c r="H15" i="6" s="1"/>
  <c r="AG15" i="2" s="1"/>
  <c r="G14" i="6"/>
  <c r="H14" i="6" s="1"/>
  <c r="AG14" i="2" s="1"/>
  <c r="G13" i="6"/>
  <c r="H13" i="6" s="1"/>
  <c r="AG13" i="2" s="1"/>
  <c r="G12" i="6"/>
  <c r="H12" i="6" s="1"/>
  <c r="AG12" i="2" s="1"/>
  <c r="G11" i="6"/>
  <c r="H11" i="6" s="1"/>
  <c r="AG11" i="2" s="1"/>
  <c r="G10" i="6"/>
  <c r="H10" i="6" s="1"/>
  <c r="AG10" i="2" s="1"/>
  <c r="G9" i="6"/>
  <c r="H9" i="6" s="1"/>
  <c r="AG9" i="2" s="1"/>
  <c r="G8" i="6"/>
  <c r="H8" i="6" s="1"/>
  <c r="AG8" i="2" s="1"/>
  <c r="G7" i="6"/>
  <c r="H7" i="6" s="1"/>
  <c r="AG7" i="2" s="1"/>
  <c r="G6" i="6"/>
  <c r="H6" i="6" s="1"/>
  <c r="AG6" i="2" s="1"/>
  <c r="AG5" i="2"/>
  <c r="X24" i="2"/>
  <c r="AE24" i="2" s="1"/>
  <c r="W24" i="2"/>
  <c r="AD24" i="2" s="1"/>
  <c r="V24" i="2"/>
  <c r="AC24" i="2" s="1"/>
  <c r="U24" i="2"/>
  <c r="AB24" i="2" s="1"/>
  <c r="T24" i="2"/>
  <c r="AA24" i="2" s="1"/>
  <c r="S24" i="2"/>
  <c r="Z24" i="2" s="1"/>
  <c r="X23" i="2"/>
  <c r="AE23" i="2" s="1"/>
  <c r="W23" i="2"/>
  <c r="AD23" i="2" s="1"/>
  <c r="V23" i="2"/>
  <c r="AC23" i="2" s="1"/>
  <c r="U23" i="2"/>
  <c r="AB23" i="2" s="1"/>
  <c r="T23" i="2"/>
  <c r="AA23" i="2" s="1"/>
  <c r="S23" i="2"/>
  <c r="Z23" i="2" s="1"/>
  <c r="X22" i="2"/>
  <c r="W22" i="2"/>
  <c r="V22" i="2"/>
  <c r="U22" i="2"/>
  <c r="T22" i="2"/>
  <c r="S22" i="2"/>
  <c r="X21" i="2"/>
  <c r="AE21" i="2" s="1"/>
  <c r="W21" i="2"/>
  <c r="AD21" i="2" s="1"/>
  <c r="V21" i="2"/>
  <c r="AC21" i="2" s="1"/>
  <c r="U21" i="2"/>
  <c r="AB21" i="2" s="1"/>
  <c r="T21" i="2"/>
  <c r="AA21" i="2" s="1"/>
  <c r="S21" i="2"/>
  <c r="Z21" i="2" s="1"/>
  <c r="X20" i="2"/>
  <c r="AE20" i="2" s="1"/>
  <c r="W20" i="2"/>
  <c r="AD20" i="2" s="1"/>
  <c r="V20" i="2"/>
  <c r="AC20" i="2" s="1"/>
  <c r="U20" i="2"/>
  <c r="AB20" i="2" s="1"/>
  <c r="T20" i="2"/>
  <c r="AA20" i="2" s="1"/>
  <c r="S20" i="2"/>
  <c r="Z20" i="2" s="1"/>
  <c r="X19" i="2"/>
  <c r="AE19" i="2" s="1"/>
  <c r="W19" i="2"/>
  <c r="AD19" i="2" s="1"/>
  <c r="V19" i="2"/>
  <c r="AC19" i="2" s="1"/>
  <c r="U19" i="2"/>
  <c r="AB19" i="2" s="1"/>
  <c r="T19" i="2"/>
  <c r="AA19" i="2" s="1"/>
  <c r="S19" i="2"/>
  <c r="Z19" i="2" s="1"/>
  <c r="X18" i="2"/>
  <c r="AE18" i="2" s="1"/>
  <c r="W18" i="2"/>
  <c r="AD18" i="2" s="1"/>
  <c r="V18" i="2"/>
  <c r="AC18" i="2" s="1"/>
  <c r="U18" i="2"/>
  <c r="AB18" i="2" s="1"/>
  <c r="T18" i="2"/>
  <c r="AA18" i="2" s="1"/>
  <c r="S18" i="2"/>
  <c r="Z18" i="2" s="1"/>
  <c r="X17" i="2"/>
  <c r="AE17" i="2" s="1"/>
  <c r="W17" i="2"/>
  <c r="AD17" i="2" s="1"/>
  <c r="V17" i="2"/>
  <c r="AC17" i="2" s="1"/>
  <c r="U17" i="2"/>
  <c r="AB17" i="2" s="1"/>
  <c r="T17" i="2"/>
  <c r="AA17" i="2" s="1"/>
  <c r="S17" i="2"/>
  <c r="Z17" i="2" s="1"/>
  <c r="X16" i="2"/>
  <c r="AE16" i="2" s="1"/>
  <c r="W16" i="2"/>
  <c r="AD16" i="2" s="1"/>
  <c r="V16" i="2"/>
  <c r="AC16" i="2" s="1"/>
  <c r="U16" i="2"/>
  <c r="AB16" i="2" s="1"/>
  <c r="T16" i="2"/>
  <c r="AA16" i="2" s="1"/>
  <c r="S16" i="2"/>
  <c r="Z16" i="2" s="1"/>
  <c r="X15" i="2"/>
  <c r="AE15" i="2" s="1"/>
  <c r="W15" i="2"/>
  <c r="AD15" i="2" s="1"/>
  <c r="V15" i="2"/>
  <c r="AC15" i="2" s="1"/>
  <c r="U15" i="2"/>
  <c r="AB15" i="2" s="1"/>
  <c r="T15" i="2"/>
  <c r="AA15" i="2" s="1"/>
  <c r="S15" i="2"/>
  <c r="Z15" i="2" s="1"/>
  <c r="X14" i="2"/>
  <c r="AE14" i="2" s="1"/>
  <c r="W14" i="2"/>
  <c r="AD14" i="2" s="1"/>
  <c r="V14" i="2"/>
  <c r="AC14" i="2" s="1"/>
  <c r="U14" i="2"/>
  <c r="AB14" i="2" s="1"/>
  <c r="T14" i="2"/>
  <c r="AA14" i="2" s="1"/>
  <c r="S14" i="2"/>
  <c r="Z14" i="2" s="1"/>
  <c r="X13" i="2"/>
  <c r="AE13" i="2" s="1"/>
  <c r="W13" i="2"/>
  <c r="AD13" i="2" s="1"/>
  <c r="V13" i="2"/>
  <c r="AC13" i="2" s="1"/>
  <c r="U13" i="2"/>
  <c r="AB13" i="2" s="1"/>
  <c r="T13" i="2"/>
  <c r="AA13" i="2" s="1"/>
  <c r="S13" i="2"/>
  <c r="Z13" i="2" s="1"/>
  <c r="X12" i="2"/>
  <c r="AE12" i="2" s="1"/>
  <c r="W12" i="2"/>
  <c r="AD12" i="2" s="1"/>
  <c r="V12" i="2"/>
  <c r="AC12" i="2" s="1"/>
  <c r="U12" i="2"/>
  <c r="AB12" i="2" s="1"/>
  <c r="T12" i="2"/>
  <c r="AA12" i="2" s="1"/>
  <c r="S12" i="2"/>
  <c r="Z12" i="2" s="1"/>
  <c r="X11" i="2"/>
  <c r="AE11" i="2" s="1"/>
  <c r="W11" i="2"/>
  <c r="AD11" i="2" s="1"/>
  <c r="V11" i="2"/>
  <c r="AC11" i="2" s="1"/>
  <c r="U11" i="2"/>
  <c r="AB11" i="2" s="1"/>
  <c r="T11" i="2"/>
  <c r="AA11" i="2" s="1"/>
  <c r="S11" i="2"/>
  <c r="Z11" i="2" s="1"/>
  <c r="X10" i="2"/>
  <c r="AE10" i="2" s="1"/>
  <c r="W10" i="2"/>
  <c r="AD10" i="2" s="1"/>
  <c r="V10" i="2"/>
  <c r="AC10" i="2" s="1"/>
  <c r="U10" i="2"/>
  <c r="AB10" i="2" s="1"/>
  <c r="T10" i="2"/>
  <c r="AA10" i="2" s="1"/>
  <c r="S10" i="2"/>
  <c r="Z10" i="2" s="1"/>
  <c r="X9" i="2"/>
  <c r="AE9" i="2" s="1"/>
  <c r="W9" i="2"/>
  <c r="AD9" i="2" s="1"/>
  <c r="V9" i="2"/>
  <c r="AC9" i="2" s="1"/>
  <c r="U9" i="2"/>
  <c r="AB9" i="2" s="1"/>
  <c r="T9" i="2"/>
  <c r="AA9" i="2" s="1"/>
  <c r="S9" i="2"/>
  <c r="Z9" i="2" s="1"/>
  <c r="X8" i="2"/>
  <c r="AE8" i="2" s="1"/>
  <c r="W8" i="2"/>
  <c r="AD8" i="2" s="1"/>
  <c r="V8" i="2"/>
  <c r="AC8" i="2" s="1"/>
  <c r="U8" i="2"/>
  <c r="AB8" i="2" s="1"/>
  <c r="T8" i="2"/>
  <c r="AA8" i="2" s="1"/>
  <c r="S8" i="2"/>
  <c r="Z8" i="2" s="1"/>
  <c r="X7" i="2"/>
  <c r="AE7" i="2" s="1"/>
  <c r="W7" i="2"/>
  <c r="AD7" i="2" s="1"/>
  <c r="V7" i="2"/>
  <c r="AC7" i="2" s="1"/>
  <c r="U7" i="2"/>
  <c r="AB7" i="2" s="1"/>
  <c r="T7" i="2"/>
  <c r="AA7" i="2" s="1"/>
  <c r="S7" i="2"/>
  <c r="Z7" i="2" s="1"/>
  <c r="X6" i="2"/>
  <c r="AE6" i="2" s="1"/>
  <c r="W6" i="2"/>
  <c r="AD6" i="2" s="1"/>
  <c r="V6" i="2"/>
  <c r="AC6" i="2" s="1"/>
  <c r="U6" i="2"/>
  <c r="AB6" i="2" s="1"/>
  <c r="T6" i="2"/>
  <c r="AA6" i="2" s="1"/>
  <c r="S6" i="2"/>
  <c r="Z6" i="2" s="1"/>
  <c r="X5" i="2"/>
  <c r="AE5" i="2" s="1"/>
  <c r="W5" i="2"/>
  <c r="AD5" i="2" s="1"/>
  <c r="V5" i="2"/>
  <c r="AC5" i="2" s="1"/>
  <c r="U5" i="2"/>
  <c r="AB5" i="2" s="1"/>
  <c r="T5" i="2"/>
  <c r="AA5" i="2" s="1"/>
  <c r="S5" i="2"/>
  <c r="Z5" i="2" s="1"/>
  <c r="Q4" i="2"/>
  <c r="P4" i="2"/>
  <c r="O4" i="2"/>
  <c r="N4" i="2"/>
  <c r="M4" i="2"/>
  <c r="L4" i="2"/>
  <c r="K4" i="2"/>
  <c r="J4" i="2"/>
  <c r="I4" i="2"/>
  <c r="H4" i="2"/>
  <c r="G4" i="2"/>
  <c r="F4" i="2"/>
  <c r="N19" i="2"/>
  <c r="A1" i="3"/>
  <c r="AF10" i="2" l="1"/>
  <c r="AF11" i="2"/>
  <c r="J23" i="4"/>
  <c r="J21" i="4"/>
  <c r="J19" i="4"/>
  <c r="J18" i="4"/>
  <c r="J20" i="4"/>
  <c r="J22" i="4"/>
  <c r="AF5" i="2"/>
  <c r="AF6" i="2"/>
  <c r="AF7" i="2"/>
  <c r="AF8" i="2"/>
  <c r="AF9" i="2"/>
  <c r="AF18" i="2"/>
  <c r="AF12" i="2"/>
  <c r="AF14" i="2"/>
  <c r="AF16" i="2"/>
  <c r="AF19" i="2"/>
  <c r="G5" i="2"/>
  <c r="I5" i="2"/>
  <c r="M5" i="2"/>
  <c r="Q5" i="2"/>
  <c r="H6" i="2"/>
  <c r="L6" i="2"/>
  <c r="P6" i="2"/>
  <c r="I7" i="2"/>
  <c r="M7" i="2"/>
  <c r="Q7" i="2"/>
  <c r="F8" i="2"/>
  <c r="J8" i="2"/>
  <c r="P8" i="2"/>
  <c r="I9" i="2"/>
  <c r="M9" i="2"/>
  <c r="Q9" i="2"/>
  <c r="H10" i="2"/>
  <c r="L10" i="2"/>
  <c r="P10" i="2"/>
  <c r="K11" i="2"/>
  <c r="O11" i="2"/>
  <c r="F12" i="2"/>
  <c r="M12" i="2"/>
  <c r="H13" i="2"/>
  <c r="P13" i="2"/>
  <c r="AF13" i="2"/>
  <c r="K14" i="2"/>
  <c r="J15" i="2"/>
  <c r="I16" i="2"/>
  <c r="Q16" i="2"/>
  <c r="L17" i="2"/>
  <c r="G18" i="2"/>
  <c r="O18" i="2"/>
  <c r="J19" i="2"/>
  <c r="K5" i="2"/>
  <c r="O5" i="2"/>
  <c r="F6" i="2"/>
  <c r="J6" i="2"/>
  <c r="N6" i="2"/>
  <c r="G7" i="2"/>
  <c r="K7" i="2"/>
  <c r="O7" i="2"/>
  <c r="H8" i="2"/>
  <c r="L8" i="2"/>
  <c r="N8" i="2"/>
  <c r="G9" i="2"/>
  <c r="K9" i="2"/>
  <c r="O9" i="2"/>
  <c r="F10" i="2"/>
  <c r="J10" i="2"/>
  <c r="N10" i="2"/>
  <c r="G11" i="2"/>
  <c r="I11" i="2"/>
  <c r="M11" i="2"/>
  <c r="Q11" i="2"/>
  <c r="I12" i="2"/>
  <c r="Q12" i="2"/>
  <c r="L13" i="2"/>
  <c r="G14" i="2"/>
  <c r="O14" i="2"/>
  <c r="F15" i="2"/>
  <c r="N15" i="2"/>
  <c r="M16" i="2"/>
  <c r="H17" i="2"/>
  <c r="P17" i="2"/>
  <c r="AF17" i="2"/>
  <c r="K18" i="2"/>
  <c r="F19" i="2"/>
  <c r="Q24" i="2"/>
  <c r="O24" i="2"/>
  <c r="M24" i="2"/>
  <c r="K24" i="2"/>
  <c r="I24" i="2"/>
  <c r="G24" i="2"/>
  <c r="P23" i="2"/>
  <c r="N23" i="2"/>
  <c r="L23" i="2"/>
  <c r="J23" i="2"/>
  <c r="H23" i="2"/>
  <c r="F23" i="2"/>
  <c r="Q22" i="2"/>
  <c r="O22" i="2"/>
  <c r="M22" i="2"/>
  <c r="K22" i="2"/>
  <c r="I22" i="2"/>
  <c r="G22" i="2"/>
  <c r="P21" i="2"/>
  <c r="N21" i="2"/>
  <c r="L21" i="2"/>
  <c r="J21" i="2"/>
  <c r="H21" i="2"/>
  <c r="F21" i="2"/>
  <c r="Q20" i="2"/>
  <c r="O20" i="2"/>
  <c r="M20" i="2"/>
  <c r="K20" i="2"/>
  <c r="I20" i="2"/>
  <c r="G20" i="2"/>
  <c r="P24" i="2"/>
  <c r="N24" i="2"/>
  <c r="L24" i="2"/>
  <c r="J24" i="2"/>
  <c r="H24" i="2"/>
  <c r="F24" i="2"/>
  <c r="Q23" i="2"/>
  <c r="O23" i="2"/>
  <c r="M23" i="2"/>
  <c r="K23" i="2"/>
  <c r="I23" i="2"/>
  <c r="G23" i="2"/>
  <c r="P22" i="2"/>
  <c r="N22" i="2"/>
  <c r="L22" i="2"/>
  <c r="J22" i="2"/>
  <c r="H22" i="2"/>
  <c r="F22" i="2"/>
  <c r="Q21" i="2"/>
  <c r="O21" i="2"/>
  <c r="M21" i="2"/>
  <c r="K21" i="2"/>
  <c r="I21" i="2"/>
  <c r="G21" i="2"/>
  <c r="P20" i="2"/>
  <c r="N20" i="2"/>
  <c r="L20" i="2"/>
  <c r="J20" i="2"/>
  <c r="H20" i="2"/>
  <c r="F20" i="2"/>
  <c r="Q19" i="2"/>
  <c r="O19" i="2"/>
  <c r="M19" i="2"/>
  <c r="K19" i="2"/>
  <c r="I19" i="2"/>
  <c r="G19" i="2"/>
  <c r="P18" i="2"/>
  <c r="N18" i="2"/>
  <c r="L18" i="2"/>
  <c r="J18" i="2"/>
  <c r="H18" i="2"/>
  <c r="F18" i="2"/>
  <c r="Q17" i="2"/>
  <c r="O17" i="2"/>
  <c r="M17" i="2"/>
  <c r="K17" i="2"/>
  <c r="I17" i="2"/>
  <c r="G17" i="2"/>
  <c r="P16" i="2"/>
  <c r="N16" i="2"/>
  <c r="L16" i="2"/>
  <c r="J16" i="2"/>
  <c r="H16" i="2"/>
  <c r="F16" i="2"/>
  <c r="Q15" i="2"/>
  <c r="O15" i="2"/>
  <c r="M15" i="2"/>
  <c r="K15" i="2"/>
  <c r="I15" i="2"/>
  <c r="G15" i="2"/>
  <c r="G19" i="4" s="1"/>
  <c r="P14" i="2"/>
  <c r="N14" i="2"/>
  <c r="L14" i="2"/>
  <c r="J14" i="2"/>
  <c r="H14" i="2"/>
  <c r="F14" i="2"/>
  <c r="Q13" i="2"/>
  <c r="O13" i="2"/>
  <c r="M13" i="2"/>
  <c r="K13" i="2"/>
  <c r="I13" i="2"/>
  <c r="G13" i="2"/>
  <c r="P12" i="2"/>
  <c r="N12" i="2"/>
  <c r="L12" i="2"/>
  <c r="J12" i="2"/>
  <c r="H12" i="2"/>
  <c r="H5" i="2"/>
  <c r="J5" i="2"/>
  <c r="L5" i="2"/>
  <c r="N5" i="2"/>
  <c r="P5" i="2"/>
  <c r="G6" i="2"/>
  <c r="I6" i="2"/>
  <c r="K6" i="2"/>
  <c r="M6" i="2"/>
  <c r="O6" i="2"/>
  <c r="Q6" i="2"/>
  <c r="F7" i="2"/>
  <c r="H7" i="2"/>
  <c r="J7" i="2"/>
  <c r="L7" i="2"/>
  <c r="N7" i="2"/>
  <c r="P7" i="2"/>
  <c r="G8" i="2"/>
  <c r="I8" i="2"/>
  <c r="K8" i="2"/>
  <c r="M8" i="2"/>
  <c r="O8" i="2"/>
  <c r="Q8" i="2"/>
  <c r="F9" i="2"/>
  <c r="H9" i="2"/>
  <c r="J9" i="2"/>
  <c r="L9" i="2"/>
  <c r="N9" i="2"/>
  <c r="P9" i="2"/>
  <c r="G10" i="2"/>
  <c r="I10" i="2"/>
  <c r="K10" i="2"/>
  <c r="M10" i="2"/>
  <c r="O10" i="2"/>
  <c r="Q10" i="2"/>
  <c r="F11" i="2"/>
  <c r="H11" i="2"/>
  <c r="J11" i="2"/>
  <c r="L11" i="2"/>
  <c r="N11" i="2"/>
  <c r="P11" i="2"/>
  <c r="G12" i="2"/>
  <c r="K12" i="2"/>
  <c r="O12" i="2"/>
  <c r="F13" i="2"/>
  <c r="J13" i="2"/>
  <c r="N13" i="2"/>
  <c r="I14" i="2"/>
  <c r="M14" i="2"/>
  <c r="Q14" i="2"/>
  <c r="H15" i="2"/>
  <c r="L15" i="2"/>
  <c r="P15" i="2"/>
  <c r="AF15" i="2"/>
  <c r="G16" i="2"/>
  <c r="K16" i="2"/>
  <c r="O16" i="2"/>
  <c r="F17" i="2"/>
  <c r="J17" i="2"/>
  <c r="N17" i="2"/>
  <c r="I18" i="2"/>
  <c r="M18" i="2"/>
  <c r="Q18" i="2"/>
  <c r="H19" i="2"/>
  <c r="L19" i="2"/>
  <c r="P19" i="2"/>
  <c r="AF20" i="2"/>
  <c r="AF21" i="2"/>
  <c r="AF23" i="2"/>
  <c r="AF24" i="2"/>
  <c r="AA22" i="2"/>
  <c r="AC22" i="2"/>
  <c r="AE22" i="2"/>
  <c r="Z22" i="2"/>
  <c r="AB22" i="2"/>
  <c r="AD22" i="2"/>
  <c r="G18" i="4" l="1"/>
  <c r="G23" i="4"/>
  <c r="G21" i="4"/>
  <c r="G25" i="4"/>
  <c r="G29" i="4"/>
  <c r="G20" i="4"/>
  <c r="G24" i="4"/>
  <c r="G28" i="4"/>
  <c r="R20" i="2"/>
  <c r="AH20" i="2" s="1"/>
  <c r="G22" i="4"/>
  <c r="G26" i="4"/>
  <c r="R24" i="2"/>
  <c r="AH24" i="2" s="1"/>
  <c r="G27" i="4"/>
  <c r="AF22" i="2"/>
  <c r="R11" i="2"/>
  <c r="AH11" i="2" s="1"/>
  <c r="R9" i="2"/>
  <c r="AH9" i="2" s="1"/>
  <c r="R7" i="2"/>
  <c r="AH7" i="2" s="1"/>
  <c r="R5" i="2"/>
  <c r="AH5" i="2" s="1"/>
  <c r="R14" i="2"/>
  <c r="AH14" i="2" s="1"/>
  <c r="R16" i="2"/>
  <c r="AH16" i="2" s="1"/>
  <c r="R18" i="2"/>
  <c r="AH18" i="2" s="1"/>
  <c r="R22" i="2"/>
  <c r="R21" i="2"/>
  <c r="AH21" i="2" s="1"/>
  <c r="R23" i="2"/>
  <c r="AH23" i="2" s="1"/>
  <c r="R19" i="2"/>
  <c r="AH19" i="2" s="1"/>
  <c r="R12" i="2"/>
  <c r="AH12" i="2" s="1"/>
  <c r="R17" i="2"/>
  <c r="AH17" i="2" s="1"/>
  <c r="R13" i="2"/>
  <c r="AH13" i="2" s="1"/>
  <c r="R15" i="2"/>
  <c r="AH15" i="2" s="1"/>
  <c r="R10" i="2"/>
  <c r="AH10" i="2" s="1"/>
  <c r="R6" i="2"/>
  <c r="AH6" i="2" s="1"/>
  <c r="R8" i="2"/>
  <c r="AH8" i="2" s="1"/>
  <c r="AH22" i="2" l="1"/>
</calcChain>
</file>

<file path=xl/sharedStrings.xml><?xml version="1.0" encoding="utf-8"?>
<sst xmlns="http://schemas.openxmlformats.org/spreadsheetml/2006/main" count="173" uniqueCount="73">
  <si>
    <t>No.</t>
  </si>
  <si>
    <t>Nama</t>
  </si>
  <si>
    <t>NIS</t>
  </si>
  <si>
    <t>Kelas</t>
  </si>
  <si>
    <t>Nama1</t>
  </si>
  <si>
    <t>Nama2</t>
  </si>
  <si>
    <t>Nama3</t>
  </si>
  <si>
    <t>Nama4</t>
  </si>
  <si>
    <t>Nama5</t>
  </si>
  <si>
    <t>Nama6</t>
  </si>
  <si>
    <t>Nama7</t>
  </si>
  <si>
    <t>Nama8</t>
  </si>
  <si>
    <t>Nama9</t>
  </si>
  <si>
    <t>Nama10</t>
  </si>
  <si>
    <t>Nama11</t>
  </si>
  <si>
    <t>Nama12</t>
  </si>
  <si>
    <t>Nama13</t>
  </si>
  <si>
    <t>Nama14</t>
  </si>
  <si>
    <t>Nama15</t>
  </si>
  <si>
    <t>Nama16</t>
  </si>
  <si>
    <t>AP A</t>
  </si>
  <si>
    <t>Tanggal</t>
  </si>
  <si>
    <t>:</t>
  </si>
  <si>
    <t/>
  </si>
  <si>
    <t>SEKOLAH</t>
  </si>
  <si>
    <t>TAHUN PELAJARAN</t>
  </si>
  <si>
    <t>by Margono, S.Pd. (margonosmikkalasan@gmail.com)</t>
  </si>
  <si>
    <t>Nama17</t>
  </si>
  <si>
    <t>Nama18</t>
  </si>
  <si>
    <t>Nama19</t>
  </si>
  <si>
    <t>Nama20</t>
  </si>
  <si>
    <t>Besar Pembayaran SPP Tiap Bulan</t>
  </si>
  <si>
    <t>BOP</t>
  </si>
  <si>
    <t>SPMA</t>
  </si>
  <si>
    <t>Modul</t>
  </si>
  <si>
    <t>PI</t>
  </si>
  <si>
    <t>KI</t>
  </si>
  <si>
    <t>Les</t>
  </si>
  <si>
    <t>SPP</t>
  </si>
  <si>
    <t>Tunggakan Awal</t>
  </si>
  <si>
    <t>Angsuran</t>
  </si>
  <si>
    <t>Sisa Tunggakan</t>
  </si>
  <si>
    <t>Bayar Tunggakan</t>
  </si>
  <si>
    <t>Kekurangan</t>
  </si>
  <si>
    <t>Pembayaran</t>
  </si>
  <si>
    <t>Jumlah</t>
  </si>
  <si>
    <t xml:space="preserve">Total </t>
  </si>
  <si>
    <t>Pembayaran SPP</t>
  </si>
  <si>
    <t>Pembayaran Lainnya</t>
  </si>
  <si>
    <t>Uang Sebesar</t>
  </si>
  <si>
    <t>Guna Membayar:</t>
  </si>
  <si>
    <t>Tunggakan</t>
  </si>
  <si>
    <t xml:space="preserve">Sleman, </t>
  </si>
  <si>
    <t>Bendahara,</t>
  </si>
  <si>
    <t>Telah Terima Dari:</t>
  </si>
  <si>
    <t>No</t>
  </si>
  <si>
    <t>Data Base Pembayaran</t>
  </si>
  <si>
    <t>Daftar Pembayaran</t>
  </si>
  <si>
    <t>DAFTAR TUNGGAKAN</t>
  </si>
  <si>
    <t>KARTU PEMBAYARAN</t>
  </si>
  <si>
    <t>Bendahara</t>
  </si>
  <si>
    <t>Nama Sekolah</t>
  </si>
  <si>
    <t>Tahun Pelajaran</t>
  </si>
  <si>
    <t>Alamat</t>
  </si>
  <si>
    <t>Tilpun</t>
  </si>
  <si>
    <t>E-mail</t>
  </si>
  <si>
    <t>IDENTITAS</t>
  </si>
  <si>
    <t>Sisa</t>
  </si>
  <si>
    <t>Kalasan, Sleman, Yogyakarta</t>
  </si>
  <si>
    <t>margonosmikkalasan@gmail.com</t>
  </si>
  <si>
    <t>081227225151</t>
  </si>
  <si>
    <t>2017/2018</t>
  </si>
  <si>
    <t>SMA AMARTA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</si>
</sst>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dd\ mmmm\ yyyy"/>
    <numFmt numFmtId="165" formatCode="_(* #,##0_);_(* \(#,##0\);_(* &quot;-&quot;??_);_(@_)"/>
    <numFmt numFmtId="166" formatCode="_([$Rp-421]* #,##0.00_);_([$Rp-421]* \(#,##0.00\);_([$Rp-421]* &quot;-&quot;??_);_(@_)"/>
    <numFmt numFmtId="167" formatCode="dd/mm/yyyy"/>
    <numFmt numFmtId="168" formatCode="[$-421]dd\ mmmm\ yyyy"/>
  </numFmts>
  <fonts count="21" x14ac:knownFonts="1">
    <font>
      <sz val="11"/>
      <color theme="1"/>
      <name val="Calibri"/>
      <family val="2"/>
      <charset val="1"/>
      <scheme val="minor"/>
    </font>
    <font>
      <sz val="11"/>
      <name val="Calibri Light"/>
      <family val="1"/>
      <scheme val="major"/>
    </font>
    <font>
      <b/>
      <sz val="11"/>
      <color theme="1"/>
      <name val="Calibri Light"/>
      <family val="1"/>
      <scheme val="major"/>
    </font>
    <font>
      <sz val="11"/>
      <color rgb="FF92D050"/>
      <name val="Calibri Light"/>
      <family val="1"/>
      <scheme val="major"/>
    </font>
    <font>
      <b/>
      <sz val="11"/>
      <name val="Calibri Light"/>
      <family val="1"/>
      <scheme val="major"/>
    </font>
    <font>
      <sz val="14"/>
      <name val="Arial"/>
      <family val="2"/>
    </font>
    <font>
      <sz val="9"/>
      <name val="Arial"/>
      <family val="2"/>
    </font>
    <font>
      <sz val="11"/>
      <color theme="1"/>
      <name val="Calibri"/>
      <family val="2"/>
      <charset val="1"/>
      <scheme val="minor"/>
    </font>
    <font>
      <sz val="9"/>
      <color theme="0"/>
      <name val="Arial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6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1"/>
      <color theme="1"/>
      <name val="Arial Narrow"/>
      <family val="2"/>
    </font>
    <font>
      <u/>
      <sz val="11"/>
      <color theme="10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03">
    <xf numFmtId="0" fontId="0" fillId="0" borderId="0" xfId="0"/>
    <xf numFmtId="0" fontId="1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4" fillId="2" borderId="0" xfId="0" applyFont="1" applyFill="1" applyProtection="1">
      <protection hidden="1"/>
    </xf>
    <xf numFmtId="0" fontId="1" fillId="3" borderId="1" xfId="0" applyFont="1" applyFill="1" applyBorder="1" applyProtection="1">
      <protection hidden="1"/>
    </xf>
    <xf numFmtId="0" fontId="1" fillId="3" borderId="4" xfId="0" applyFont="1" applyFill="1" applyBorder="1" applyProtection="1">
      <protection hidden="1"/>
    </xf>
    <xf numFmtId="0" fontId="1" fillId="3" borderId="2" xfId="0" applyFont="1" applyFill="1" applyBorder="1" applyProtection="1">
      <protection hidden="1"/>
    </xf>
    <xf numFmtId="0" fontId="1" fillId="3" borderId="3" xfId="0" applyFont="1" applyFill="1" applyBorder="1" applyProtection="1">
      <protection hidden="1"/>
    </xf>
    <xf numFmtId="0" fontId="1" fillId="3" borderId="5" xfId="0" applyFont="1" applyFill="1" applyBorder="1" applyProtection="1">
      <protection hidden="1"/>
    </xf>
    <xf numFmtId="0" fontId="2" fillId="3" borderId="5" xfId="0" applyFont="1" applyFill="1" applyBorder="1" applyProtection="1">
      <protection hidden="1"/>
    </xf>
    <xf numFmtId="0" fontId="5" fillId="5" borderId="4" xfId="0" applyFont="1" applyFill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5" borderId="5" xfId="0" applyFont="1" applyFill="1" applyBorder="1" applyAlignment="1" applyProtection="1">
      <alignment horizontal="left"/>
      <protection locked="0"/>
    </xf>
    <xf numFmtId="0" fontId="5" fillId="5" borderId="6" xfId="0" applyFont="1" applyFill="1" applyBorder="1" applyProtection="1">
      <protection hidden="1"/>
    </xf>
    <xf numFmtId="0" fontId="5" fillId="5" borderId="7" xfId="0" applyFont="1" applyFill="1" applyBorder="1" applyProtection="1">
      <protection hidden="1"/>
    </xf>
    <xf numFmtId="0" fontId="5" fillId="5" borderId="8" xfId="0" applyFont="1" applyFill="1" applyBorder="1" applyAlignment="1" applyProtection="1">
      <alignment horizontal="left"/>
      <protection locked="0"/>
    </xf>
    <xf numFmtId="0" fontId="5" fillId="4" borderId="1" xfId="0" applyFont="1" applyFill="1" applyBorder="1" applyProtection="1">
      <protection hidden="1"/>
    </xf>
    <xf numFmtId="0" fontId="5" fillId="4" borderId="2" xfId="0" applyFont="1" applyFill="1" applyBorder="1" applyProtection="1">
      <protection hidden="1"/>
    </xf>
    <xf numFmtId="0" fontId="5" fillId="4" borderId="3" xfId="0" applyFont="1" applyFill="1" applyBorder="1" applyAlignment="1" applyProtection="1">
      <alignment horizontal="left"/>
      <protection locked="0"/>
    </xf>
    <xf numFmtId="0" fontId="1" fillId="4" borderId="4" xfId="0" applyFont="1" applyFill="1" applyBorder="1" applyProtection="1">
      <protection hidden="1"/>
    </xf>
    <xf numFmtId="0" fontId="1" fillId="4" borderId="0" xfId="0" applyFont="1" applyFill="1" applyBorder="1" applyProtection="1">
      <protection hidden="1"/>
    </xf>
    <xf numFmtId="0" fontId="5" fillId="4" borderId="5" xfId="0" applyFont="1" applyFill="1" applyBorder="1" applyAlignment="1" applyProtection="1">
      <alignment horizontal="left"/>
      <protection locked="0"/>
    </xf>
    <xf numFmtId="0" fontId="6" fillId="2" borderId="0" xfId="0" applyFont="1" applyFill="1" applyProtection="1">
      <protection hidden="1"/>
    </xf>
    <xf numFmtId="0" fontId="1" fillId="3" borderId="0" xfId="0" applyFont="1" applyFill="1" applyBorder="1" applyProtection="1">
      <protection hidden="1"/>
    </xf>
    <xf numFmtId="0" fontId="8" fillId="4" borderId="9" xfId="0" applyFont="1" applyFill="1" applyBorder="1" applyAlignment="1" applyProtection="1">
      <alignment horizontal="left"/>
      <protection hidden="1"/>
    </xf>
    <xf numFmtId="0" fontId="8" fillId="4" borderId="10" xfId="0" applyFont="1" applyFill="1" applyBorder="1" applyAlignment="1" applyProtection="1">
      <alignment horizontal="left"/>
      <protection hidden="1"/>
    </xf>
    <xf numFmtId="0" fontId="8" fillId="4" borderId="11" xfId="0" applyFont="1" applyFill="1" applyBorder="1" applyAlignment="1" applyProtection="1">
      <alignment horizontal="left"/>
      <protection hidden="1"/>
    </xf>
    <xf numFmtId="0" fontId="0" fillId="2" borderId="0" xfId="0" applyFill="1"/>
    <xf numFmtId="0" fontId="0" fillId="0" borderId="0" xfId="0" applyFill="1"/>
    <xf numFmtId="165" fontId="0" fillId="0" borderId="0" xfId="1" applyNumberFormat="1" applyFont="1" applyFill="1"/>
    <xf numFmtId="0" fontId="9" fillId="6" borderId="0" xfId="0" applyFont="1" applyFill="1"/>
    <xf numFmtId="165" fontId="9" fillId="6" borderId="0" xfId="1" applyNumberFormat="1" applyFont="1" applyFill="1"/>
    <xf numFmtId="165" fontId="9" fillId="6" borderId="0" xfId="1" applyNumberFormat="1" applyFont="1" applyFill="1" applyAlignment="1">
      <alignment horizontal="center"/>
    </xf>
    <xf numFmtId="165" fontId="9" fillId="6" borderId="12" xfId="1" applyNumberFormat="1" applyFont="1" applyFill="1" applyBorder="1"/>
    <xf numFmtId="16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Fill="1"/>
    <xf numFmtId="17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0" fontId="10" fillId="8" borderId="12" xfId="0" applyFont="1" applyFill="1" applyBorder="1" applyAlignment="1">
      <alignment horizontal="center"/>
    </xf>
    <xf numFmtId="164" fontId="10" fillId="8" borderId="12" xfId="0" applyNumberFormat="1" applyFont="1" applyFill="1" applyBorder="1" applyAlignment="1">
      <alignment horizontal="center"/>
    </xf>
    <xf numFmtId="165" fontId="10" fillId="8" borderId="12" xfId="1" applyNumberFormat="1" applyFont="1" applyFill="1" applyBorder="1" applyAlignment="1">
      <alignment horizontal="center"/>
    </xf>
    <xf numFmtId="0" fontId="0" fillId="5" borderId="12" xfId="0" applyFill="1" applyBorder="1"/>
    <xf numFmtId="0" fontId="14" fillId="2" borderId="0" xfId="0" applyFont="1" applyFill="1"/>
    <xf numFmtId="0" fontId="0" fillId="5" borderId="0" xfId="0" applyFill="1"/>
    <xf numFmtId="0" fontId="0" fillId="5" borderId="0" xfId="0" applyFill="1" applyBorder="1"/>
    <xf numFmtId="0" fontId="14" fillId="8" borderId="12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9" borderId="12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Protection="1">
      <protection locked="0"/>
    </xf>
    <xf numFmtId="165" fontId="0" fillId="9" borderId="0" xfId="1" applyNumberFormat="1" applyFont="1" applyFill="1" applyProtection="1">
      <protection locked="0"/>
    </xf>
    <xf numFmtId="0" fontId="0" fillId="9" borderId="0" xfId="1" applyNumberFormat="1" applyFont="1" applyFill="1" applyProtection="1">
      <protection locked="0"/>
    </xf>
    <xf numFmtId="0" fontId="0" fillId="9" borderId="0" xfId="0" applyFill="1" applyProtection="1">
      <protection locked="0"/>
    </xf>
    <xf numFmtId="165" fontId="14" fillId="9" borderId="12" xfId="1" applyNumberFormat="1" applyFont="1" applyFill="1" applyBorder="1"/>
    <xf numFmtId="0" fontId="14" fillId="9" borderId="12" xfId="0" applyFont="1" applyFill="1" applyBorder="1"/>
    <xf numFmtId="0" fontId="20" fillId="9" borderId="12" xfId="2" applyFill="1" applyBorder="1"/>
    <xf numFmtId="0" fontId="0" fillId="5" borderId="0" xfId="0" applyFill="1" applyBorder="1" applyProtection="1">
      <protection locked="0"/>
    </xf>
    <xf numFmtId="0" fontId="14" fillId="8" borderId="12" xfId="0" applyFont="1" applyFill="1" applyBorder="1" applyAlignment="1" applyProtection="1">
      <alignment horizontal="center"/>
      <protection locked="0"/>
    </xf>
    <xf numFmtId="0" fontId="0" fillId="9" borderId="12" xfId="0" applyFill="1" applyBorder="1" applyProtection="1">
      <protection locked="0"/>
    </xf>
    <xf numFmtId="165" fontId="9" fillId="6" borderId="12" xfId="1" applyNumberFormat="1" applyFont="1" applyFill="1" applyBorder="1" applyAlignment="1">
      <alignment horizontal="center"/>
    </xf>
    <xf numFmtId="0" fontId="9" fillId="6" borderId="12" xfId="0" applyFont="1" applyFill="1" applyBorder="1"/>
    <xf numFmtId="0" fontId="9" fillId="6" borderId="12" xfId="0" applyFont="1" applyFill="1" applyBorder="1" applyAlignment="1">
      <alignment horizontal="center"/>
    </xf>
    <xf numFmtId="0" fontId="0" fillId="6" borderId="0" xfId="0" applyFill="1" applyProtection="1">
      <protection hidden="1"/>
    </xf>
    <xf numFmtId="0" fontId="0" fillId="0" borderId="0" xfId="0" applyFill="1" applyProtection="1">
      <protection hidden="1"/>
    </xf>
    <xf numFmtId="0" fontId="17" fillId="6" borderId="0" xfId="0" applyFont="1" applyFill="1" applyProtection="1">
      <protection hidden="1"/>
    </xf>
    <xf numFmtId="0" fontId="17" fillId="0" borderId="0" xfId="0" applyFont="1" applyFill="1" applyProtection="1">
      <protection hidden="1"/>
    </xf>
    <xf numFmtId="0" fontId="0" fillId="0" borderId="12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19" fillId="0" borderId="0" xfId="0" applyFont="1" applyFill="1" applyBorder="1" applyProtection="1">
      <protection hidden="1"/>
    </xf>
    <xf numFmtId="0" fontId="19" fillId="0" borderId="12" xfId="0" applyFont="1" applyFill="1" applyBorder="1" applyProtection="1">
      <protection hidden="1"/>
    </xf>
    <xf numFmtId="166" fontId="19" fillId="0" borderId="12" xfId="1" applyNumberFormat="1" applyFont="1" applyFill="1" applyBorder="1" applyProtection="1">
      <protection hidden="1"/>
    </xf>
    <xf numFmtId="0" fontId="19" fillId="0" borderId="0" xfId="0" applyFont="1" applyFill="1" applyProtection="1">
      <protection hidden="1"/>
    </xf>
    <xf numFmtId="0" fontId="19" fillId="0" borderId="0" xfId="0" applyFont="1" applyFill="1" applyAlignment="1" applyProtection="1">
      <alignment horizontal="right"/>
      <protection hidden="1"/>
    </xf>
    <xf numFmtId="0" fontId="19" fillId="6" borderId="0" xfId="0" applyFont="1" applyFill="1" applyBorder="1" applyProtection="1"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165" fontId="19" fillId="6" borderId="0" xfId="1" applyNumberFormat="1" applyFont="1" applyFill="1" applyBorder="1" applyProtection="1">
      <protection hidden="1"/>
    </xf>
    <xf numFmtId="166" fontId="19" fillId="0" borderId="0" xfId="1" applyNumberFormat="1" applyFont="1" applyFill="1" applyBorder="1" applyProtection="1">
      <protection hidden="1"/>
    </xf>
    <xf numFmtId="0" fontId="19" fillId="0" borderId="0" xfId="0" applyFont="1" applyFill="1" applyBorder="1" applyAlignment="1" applyProtection="1">
      <alignment horizontal="right"/>
      <protection hidden="1"/>
    </xf>
    <xf numFmtId="167" fontId="19" fillId="0" borderId="0" xfId="0" applyNumberFormat="1" applyFont="1" applyFill="1" applyBorder="1" applyProtection="1">
      <protection hidden="1"/>
    </xf>
    <xf numFmtId="168" fontId="19" fillId="0" borderId="0" xfId="0" applyNumberFormat="1" applyFont="1" applyFill="1" applyBorder="1" applyProtection="1">
      <protection hidden="1"/>
    </xf>
    <xf numFmtId="0" fontId="14" fillId="9" borderId="12" xfId="0" quotePrefix="1" applyFont="1" applyFill="1" applyBorder="1"/>
    <xf numFmtId="0" fontId="16" fillId="10" borderId="13" xfId="0" applyFont="1" applyFill="1" applyBorder="1" applyAlignment="1">
      <alignment horizontal="center"/>
    </xf>
    <xf numFmtId="0" fontId="16" fillId="10" borderId="15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165" fontId="9" fillId="6" borderId="12" xfId="1" applyNumberFormat="1" applyFont="1" applyFill="1" applyBorder="1" applyAlignment="1">
      <alignment horizontal="center"/>
    </xf>
    <xf numFmtId="0" fontId="13" fillId="7" borderId="0" xfId="0" applyFont="1" applyFill="1" applyAlignment="1" applyProtection="1">
      <alignment horizontal="center" vertical="center"/>
      <protection locked="0"/>
    </xf>
    <xf numFmtId="165" fontId="9" fillId="9" borderId="12" xfId="1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center"/>
      <protection hidden="1"/>
    </xf>
    <xf numFmtId="0" fontId="18" fillId="0" borderId="0" xfId="0" applyFont="1" applyFill="1" applyAlignment="1" applyProtection="1">
      <alignment horizontal="center"/>
      <protection hidden="1"/>
    </xf>
    <xf numFmtId="0" fontId="18" fillId="0" borderId="16" xfId="0" applyFont="1" applyFill="1" applyBorder="1" applyAlignment="1" applyProtection="1">
      <alignment horizontal="center"/>
      <protection hidden="1"/>
    </xf>
    <xf numFmtId="168" fontId="19" fillId="0" borderId="0" xfId="0" applyNumberFormat="1" applyFont="1" applyFill="1" applyAlignment="1" applyProtection="1">
      <alignment horizontal="left"/>
      <protection hidden="1"/>
    </xf>
    <xf numFmtId="0" fontId="0" fillId="0" borderId="13" xfId="0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left"/>
      <protection hidden="1"/>
    </xf>
    <xf numFmtId="0" fontId="0" fillId="0" borderId="15" xfId="0" applyFill="1" applyBorder="1" applyAlignment="1" applyProtection="1">
      <alignment horizontal="left"/>
      <protection hidden="1"/>
    </xf>
    <xf numFmtId="0" fontId="19" fillId="0" borderId="13" xfId="0" applyFont="1" applyFill="1" applyBorder="1" applyAlignment="1" applyProtection="1">
      <alignment horizontal="center"/>
      <protection hidden="1"/>
    </xf>
    <xf numFmtId="0" fontId="19" fillId="0" borderId="15" xfId="0" applyFont="1" applyFill="1" applyBorder="1" applyAlignment="1" applyProtection="1">
      <alignment horizontal="center"/>
      <protection hidden="1"/>
    </xf>
  </cellXfs>
  <cellStyles count="3">
    <cellStyle name="Comma" xfId="1" builtinId="3"/>
    <cellStyle name="Hyperlink" xfId="2" builtinId="8"/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523875</xdr:colOff>
      <xdr:row>4</xdr:row>
      <xdr:rowOff>161925</xdr:rowOff>
    </xdr:from>
    <xdr:ext cx="5057775" cy="364040"/>
    <xdr:sp macro="" textlink="">
      <xdr:nvSpPr>
        <xdr:cNvPr id="2" name="Rectangle 1"/>
        <xdr:cNvSpPr/>
      </xdr:nvSpPr>
      <xdr:spPr>
        <a:xfrm>
          <a:off x="1743075" y="923925"/>
          <a:ext cx="5057775" cy="36404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id-ID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APLIKASI PEMBAYARAN</a:t>
          </a:r>
          <a:endParaRPr lang="en-US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5</xdr:col>
      <xdr:colOff>2295525</xdr:colOff>
      <xdr:row>14</xdr:row>
      <xdr:rowOff>76200</xdr:rowOff>
    </xdr:from>
    <xdr:to>
      <xdr:col>7</xdr:col>
      <xdr:colOff>19050</xdr:colOff>
      <xdr:row>16</xdr:row>
      <xdr:rowOff>190499</xdr:rowOff>
    </xdr:to>
    <xdr:sp macro="[0]!Masuk" textlink="">
      <xdr:nvSpPr>
        <xdr:cNvPr id="3" name="Rounded Rectangle 2"/>
        <xdr:cNvSpPr/>
      </xdr:nvSpPr>
      <xdr:spPr>
        <a:xfrm>
          <a:off x="7124700" y="3048000"/>
          <a:ext cx="990600" cy="495299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2000" b="1">
              <a:solidFill>
                <a:schemeClr val="bg1"/>
              </a:solidFill>
            </a:rPr>
            <a:t>INPUT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rgonosmikkalasan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C17"/>
  <sheetViews>
    <sheetView workbookViewId="0">
      <selection activeCell="B13" sqref="B13"/>
    </sheetView>
  </sheetViews>
  <sheetFormatPr defaultRowHeight="21" x14ac:dyDescent="0.35"/>
  <cols>
    <col min="1" max="1" width="9.140625" style="44"/>
    <col min="2" max="2" width="43.7109375" style="44" bestFit="1" customWidth="1"/>
    <col min="3" max="3" width="44.5703125" style="44" customWidth="1"/>
    <col min="4" max="4" width="9.140625" style="44"/>
    <col min="5" max="5" width="14.42578125" style="44" bestFit="1" customWidth="1"/>
    <col min="6" max="6" width="19.7109375" style="44" bestFit="1" customWidth="1"/>
    <col min="7" max="16384" width="9.140625" style="44"/>
  </cols>
  <sheetData>
    <row r="2" spans="2:3" ht="26.25" x14ac:dyDescent="0.4">
      <c r="B2" s="82" t="s">
        <v>66</v>
      </c>
      <c r="C2" s="83"/>
    </row>
    <row r="4" spans="2:3" x14ac:dyDescent="0.35">
      <c r="B4" s="44" t="s">
        <v>61</v>
      </c>
      <c r="C4" s="55" t="s">
        <v>72</v>
      </c>
    </row>
    <row r="5" spans="2:3" x14ac:dyDescent="0.35">
      <c r="B5" s="44" t="s">
        <v>63</v>
      </c>
      <c r="C5" s="55" t="s">
        <v>68</v>
      </c>
    </row>
    <row r="6" spans="2:3" x14ac:dyDescent="0.35">
      <c r="B6" s="44" t="s">
        <v>65</v>
      </c>
      <c r="C6" s="56" t="s">
        <v>69</v>
      </c>
    </row>
    <row r="7" spans="2:3" x14ac:dyDescent="0.35">
      <c r="B7" s="44" t="s">
        <v>64</v>
      </c>
      <c r="C7" s="81" t="s">
        <v>70</v>
      </c>
    </row>
    <row r="8" spans="2:3" x14ac:dyDescent="0.35">
      <c r="B8" s="44" t="s">
        <v>62</v>
      </c>
      <c r="C8" s="55" t="s">
        <v>71</v>
      </c>
    </row>
    <row r="9" spans="2:3" x14ac:dyDescent="0.35">
      <c r="B9" s="44" t="s">
        <v>60</v>
      </c>
      <c r="C9" s="55"/>
    </row>
    <row r="11" spans="2:3" x14ac:dyDescent="0.35">
      <c r="B11" s="44" t="s">
        <v>31</v>
      </c>
      <c r="C11" s="54">
        <v>120000</v>
      </c>
    </row>
    <row r="12" spans="2:3" x14ac:dyDescent="0.35">
      <c r="B12" s="44" t="s">
        <v>32</v>
      </c>
      <c r="C12" s="54">
        <v>1500000</v>
      </c>
    </row>
    <row r="13" spans="2:3" x14ac:dyDescent="0.35">
      <c r="B13" s="44" t="s">
        <v>33</v>
      </c>
      <c r="C13" s="54">
        <v>500000</v>
      </c>
    </row>
    <row r="14" spans="2:3" x14ac:dyDescent="0.35">
      <c r="B14" s="44" t="s">
        <v>34</v>
      </c>
      <c r="C14" s="54">
        <v>200000</v>
      </c>
    </row>
    <row r="15" spans="2:3" x14ac:dyDescent="0.35">
      <c r="B15" s="44" t="s">
        <v>35</v>
      </c>
      <c r="C15" s="54">
        <v>200000</v>
      </c>
    </row>
    <row r="16" spans="2:3" x14ac:dyDescent="0.35">
      <c r="B16" s="44" t="s">
        <v>36</v>
      </c>
      <c r="C16" s="54">
        <v>200000</v>
      </c>
    </row>
    <row r="17" spans="2:3" x14ac:dyDescent="0.35">
      <c r="B17" s="44" t="s">
        <v>37</v>
      </c>
      <c r="C17" s="54">
        <v>400000</v>
      </c>
    </row>
  </sheetData>
  <mergeCells count="1">
    <mergeCell ref="B2:C2"/>
  </mergeCells>
  <conditionalFormatting sqref="G11:XFD11 A3:B1048576 D3:XFD10 D11 D12:XFD1048576">
    <cfRule type="expression" dxfId="3" priority="1">
      <formula>A3&lt;&gt;""</formula>
    </cfRule>
  </conditionalFormatting>
  <hyperlinks>
    <hyperlink ref="C6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M23"/>
  <sheetViews>
    <sheetView tabSelected="1" zoomScale="110" zoomScaleNormal="110" workbookViewId="0">
      <selection activeCell="M26" sqref="M26"/>
    </sheetView>
  </sheetViews>
  <sheetFormatPr defaultRowHeight="15" x14ac:dyDescent="0.25"/>
  <cols>
    <col min="1" max="2" width="14.42578125" style="28" customWidth="1"/>
    <col min="3" max="3" width="3.7109375" style="28" customWidth="1"/>
    <col min="4" max="4" width="27.85546875" style="28" bestFit="1" customWidth="1"/>
    <col min="5" max="5" width="2" style="28" bestFit="1" customWidth="1"/>
    <col min="6" max="6" width="45.28515625" style="28" bestFit="1" customWidth="1"/>
    <col min="7" max="7" width="3.7109375" style="28" customWidth="1"/>
    <col min="8" max="16384" width="9.140625" style="28"/>
  </cols>
  <sheetData>
    <row r="3" spans="2:13" x14ac:dyDescent="0.25">
      <c r="D3" s="1"/>
      <c r="E3" s="1"/>
      <c r="F3" s="1"/>
      <c r="G3" s="2"/>
    </row>
    <row r="4" spans="2:13" x14ac:dyDescent="0.25">
      <c r="C4" s="5"/>
      <c r="D4" s="7"/>
      <c r="E4" s="7"/>
      <c r="F4" s="7"/>
      <c r="G4" s="8"/>
    </row>
    <row r="5" spans="2:13" ht="18" x14ac:dyDescent="0.25">
      <c r="C5" s="6"/>
      <c r="D5" s="17"/>
      <c r="E5" s="18"/>
      <c r="F5" s="19"/>
      <c r="G5" s="9"/>
    </row>
    <row r="6" spans="2:13" ht="18" x14ac:dyDescent="0.25">
      <c r="C6" s="6"/>
      <c r="D6" s="20"/>
      <c r="E6" s="21"/>
      <c r="F6" s="22"/>
      <c r="G6" s="9"/>
    </row>
    <row r="7" spans="2:13" ht="18" x14ac:dyDescent="0.25">
      <c r="C7" s="6"/>
      <c r="D7" s="20"/>
      <c r="E7" s="21"/>
      <c r="F7" s="22"/>
      <c r="G7" s="9"/>
    </row>
    <row r="8" spans="2:13" ht="18" x14ac:dyDescent="0.25">
      <c r="C8" s="6"/>
      <c r="D8" s="11"/>
      <c r="E8" s="12"/>
      <c r="F8" s="13"/>
      <c r="G8" s="10" t="s">
        <v>23</v>
      </c>
    </row>
    <row r="9" spans="2:13" ht="18" x14ac:dyDescent="0.25">
      <c r="C9" s="6"/>
      <c r="D9" s="11" t="s">
        <v>24</v>
      </c>
      <c r="E9" s="12" t="s">
        <v>22</v>
      </c>
      <c r="F9" s="13" t="str">
        <f>Identitas!C4</f>
        <v>SMA AMARTA</v>
      </c>
      <c r="G9" s="10" t="s">
        <v>23</v>
      </c>
    </row>
    <row r="10" spans="2:13" ht="18" x14ac:dyDescent="0.25">
      <c r="C10" s="6"/>
      <c r="D10" s="11" t="s">
        <v>25</v>
      </c>
      <c r="E10" s="12" t="s">
        <v>22</v>
      </c>
      <c r="F10" s="13" t="str">
        <f>Identitas!C8</f>
        <v>2017/2018</v>
      </c>
      <c r="G10" s="10" t="s">
        <v>23</v>
      </c>
      <c r="M10" s="3">
        <v>4</v>
      </c>
    </row>
    <row r="11" spans="2:13" ht="18" x14ac:dyDescent="0.25">
      <c r="C11" s="6"/>
      <c r="D11" s="11"/>
      <c r="E11" s="12"/>
      <c r="F11" s="13"/>
      <c r="G11" s="10" t="s">
        <v>23</v>
      </c>
      <c r="M11" s="3">
        <v>10</v>
      </c>
    </row>
    <row r="12" spans="2:13" ht="18" x14ac:dyDescent="0.25">
      <c r="C12" s="6"/>
      <c r="D12" s="14"/>
      <c r="E12" s="15"/>
      <c r="F12" s="16"/>
      <c r="G12" s="9"/>
    </row>
    <row r="13" spans="2:13" x14ac:dyDescent="0.25">
      <c r="C13" s="6"/>
      <c r="D13" s="24"/>
      <c r="E13" s="24"/>
      <c r="F13" s="24"/>
      <c r="G13" s="9"/>
    </row>
    <row r="14" spans="2:13" x14ac:dyDescent="0.25">
      <c r="C14" s="25" t="s">
        <v>26</v>
      </c>
      <c r="D14" s="26"/>
      <c r="E14" s="26"/>
      <c r="F14" s="26"/>
      <c r="G14" s="27"/>
    </row>
    <row r="15" spans="2:13" x14ac:dyDescent="0.25">
      <c r="C15" s="23"/>
    </row>
    <row r="16" spans="2:13" x14ac:dyDescent="0.25">
      <c r="B16" s="4"/>
      <c r="C16" s="4"/>
    </row>
    <row r="20" hidden="1" x14ac:dyDescent="0.25"/>
    <row r="21" hidden="1" x14ac:dyDescent="0.25"/>
    <row r="22" hidden="1" x14ac:dyDescent="0.25"/>
    <row r="23" hidden="1" x14ac:dyDescent="0.25"/>
  </sheetData>
  <sheetProtection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H500"/>
  <sheetViews>
    <sheetView workbookViewId="0">
      <pane ySplit="4" topLeftCell="A5" activePane="bottomLeft" state="frozen"/>
      <selection pane="bottomLeft" activeCell="F23" sqref="F23"/>
    </sheetView>
  </sheetViews>
  <sheetFormatPr defaultRowHeight="15" x14ac:dyDescent="0.25"/>
  <cols>
    <col min="1" max="1" width="9.140625" style="45"/>
    <col min="2" max="2" width="5.5703125" style="43" customWidth="1"/>
    <col min="3" max="3" width="9.140625" style="43"/>
    <col min="4" max="4" width="24.140625" style="43" customWidth="1"/>
    <col min="5" max="5" width="9.140625" style="43"/>
    <col min="6" max="6" width="22.5703125" style="59" customWidth="1"/>
    <col min="7" max="8" width="22.5703125" style="43" customWidth="1"/>
    <col min="9" max="16384" width="9.140625" style="45"/>
  </cols>
  <sheetData>
    <row r="1" spans="2:8" x14ac:dyDescent="0.25">
      <c r="B1" s="46"/>
      <c r="C1" s="46"/>
      <c r="D1" s="46"/>
      <c r="E1" s="46"/>
      <c r="F1" s="57"/>
      <c r="G1" s="46"/>
      <c r="H1" s="46"/>
    </row>
    <row r="2" spans="2:8" ht="28.5" x14ac:dyDescent="0.45">
      <c r="B2" s="84" t="s">
        <v>58</v>
      </c>
      <c r="C2" s="85"/>
      <c r="D2" s="85"/>
      <c r="E2" s="85"/>
      <c r="F2" s="85"/>
      <c r="G2" s="85"/>
      <c r="H2" s="86"/>
    </row>
    <row r="3" spans="2:8" s="46" customFormat="1" ht="3.75" customHeight="1" x14ac:dyDescent="0.25">
      <c r="F3" s="57"/>
    </row>
    <row r="4" spans="2:8" s="48" customFormat="1" ht="21" x14ac:dyDescent="0.35">
      <c r="B4" s="47" t="s">
        <v>0</v>
      </c>
      <c r="C4" s="47" t="s">
        <v>2</v>
      </c>
      <c r="D4" s="47" t="s">
        <v>1</v>
      </c>
      <c r="E4" s="47" t="s">
        <v>3</v>
      </c>
      <c r="F4" s="58" t="s">
        <v>39</v>
      </c>
      <c r="G4" s="47" t="s">
        <v>40</v>
      </c>
      <c r="H4" s="47" t="s">
        <v>41</v>
      </c>
    </row>
    <row r="5" spans="2:8" x14ac:dyDescent="0.25">
      <c r="B5" s="43">
        <f>Daftar!B5</f>
        <v>1</v>
      </c>
      <c r="C5" s="43">
        <f>Daftar!C5</f>
        <v>1601</v>
      </c>
      <c r="D5" s="43" t="str">
        <f>Daftar!D5</f>
        <v>Nama1</v>
      </c>
      <c r="E5" s="43" t="str">
        <f>Daftar!E5</f>
        <v>AP A</v>
      </c>
      <c r="G5" s="43">
        <f>SUMIFS(DataBase!O:O,DataBase!C:C,Tunggakan!C5)</f>
        <v>0</v>
      </c>
      <c r="H5" s="43">
        <f>F5-G5</f>
        <v>0</v>
      </c>
    </row>
    <row r="6" spans="2:8" x14ac:dyDescent="0.25">
      <c r="B6" s="43">
        <f>Daftar!B6</f>
        <v>2</v>
      </c>
      <c r="C6" s="43">
        <f>Daftar!C6</f>
        <v>1602</v>
      </c>
      <c r="D6" s="43" t="str">
        <f>Daftar!D6</f>
        <v>Nama2</v>
      </c>
      <c r="E6" s="43" t="str">
        <f>Daftar!E6</f>
        <v>AP A</v>
      </c>
      <c r="G6" s="43">
        <f>SUMIFS(DataBase!O:O,DataBase!C:C,Tunggakan!C6)</f>
        <v>0</v>
      </c>
      <c r="H6" s="43">
        <f t="shared" ref="H6:H24" si="0">F6-G6</f>
        <v>0</v>
      </c>
    </row>
    <row r="7" spans="2:8" x14ac:dyDescent="0.25">
      <c r="B7" s="43">
        <f>Daftar!B7</f>
        <v>3</v>
      </c>
      <c r="C7" s="43">
        <f>Daftar!C7</f>
        <v>1603</v>
      </c>
      <c r="D7" s="43" t="str">
        <f>Daftar!D7</f>
        <v>Nama3</v>
      </c>
      <c r="E7" s="43" t="str">
        <f>Daftar!E7</f>
        <v>AP A</v>
      </c>
      <c r="G7" s="43">
        <f>SUMIFS(DataBase!O:O,DataBase!C:C,Tunggakan!C7)</f>
        <v>0</v>
      </c>
      <c r="H7" s="43">
        <f t="shared" si="0"/>
        <v>0</v>
      </c>
    </row>
    <row r="8" spans="2:8" x14ac:dyDescent="0.25">
      <c r="B8" s="43">
        <f>Daftar!B8</f>
        <v>4</v>
      </c>
      <c r="C8" s="43">
        <f>Daftar!C8</f>
        <v>1604</v>
      </c>
      <c r="D8" s="43" t="str">
        <f>Daftar!D8</f>
        <v>Nama4</v>
      </c>
      <c r="E8" s="43" t="str">
        <f>Daftar!E8</f>
        <v>AP A</v>
      </c>
      <c r="G8" s="43">
        <f>SUMIFS(DataBase!O:O,DataBase!C:C,Tunggakan!C8)</f>
        <v>0</v>
      </c>
      <c r="H8" s="43">
        <f t="shared" si="0"/>
        <v>0</v>
      </c>
    </row>
    <row r="9" spans="2:8" x14ac:dyDescent="0.25">
      <c r="B9" s="43">
        <f>Daftar!B9</f>
        <v>5</v>
      </c>
      <c r="C9" s="43">
        <f>Daftar!C9</f>
        <v>1605</v>
      </c>
      <c r="D9" s="43" t="str">
        <f>Daftar!D9</f>
        <v>Nama5</v>
      </c>
      <c r="E9" s="43" t="str">
        <f>Daftar!E9</f>
        <v>AP A</v>
      </c>
      <c r="G9" s="43">
        <f>SUMIFS(DataBase!O:O,DataBase!C:C,Tunggakan!C9)</f>
        <v>0</v>
      </c>
      <c r="H9" s="43">
        <f t="shared" si="0"/>
        <v>0</v>
      </c>
    </row>
    <row r="10" spans="2:8" x14ac:dyDescent="0.25">
      <c r="B10" s="43">
        <f>Daftar!B10</f>
        <v>6</v>
      </c>
      <c r="C10" s="43">
        <f>Daftar!C10</f>
        <v>1606</v>
      </c>
      <c r="D10" s="43" t="str">
        <f>Daftar!D10</f>
        <v>Nama6</v>
      </c>
      <c r="E10" s="43" t="str">
        <f>Daftar!E10</f>
        <v>AP A</v>
      </c>
      <c r="G10" s="43">
        <f>SUMIFS(DataBase!O:O,DataBase!C:C,Tunggakan!C10)</f>
        <v>0</v>
      </c>
      <c r="H10" s="43">
        <f t="shared" si="0"/>
        <v>0</v>
      </c>
    </row>
    <row r="11" spans="2:8" x14ac:dyDescent="0.25">
      <c r="B11" s="43">
        <f>Daftar!B11</f>
        <v>7</v>
      </c>
      <c r="C11" s="43">
        <f>Daftar!C11</f>
        <v>1607</v>
      </c>
      <c r="D11" s="43" t="str">
        <f>Daftar!D11</f>
        <v>Nama7</v>
      </c>
      <c r="E11" s="43" t="str">
        <f>Daftar!E11</f>
        <v>AP A</v>
      </c>
      <c r="G11" s="43">
        <f>SUMIFS(DataBase!O:O,DataBase!C:C,Tunggakan!C11)</f>
        <v>0</v>
      </c>
      <c r="H11" s="43">
        <f t="shared" si="0"/>
        <v>0</v>
      </c>
    </row>
    <row r="12" spans="2:8" x14ac:dyDescent="0.25">
      <c r="B12" s="43">
        <f>Daftar!B12</f>
        <v>8</v>
      </c>
      <c r="C12" s="43">
        <f>Daftar!C12</f>
        <v>1608</v>
      </c>
      <c r="D12" s="43" t="str">
        <f>Daftar!D12</f>
        <v>Nama8</v>
      </c>
      <c r="E12" s="43" t="str">
        <f>Daftar!E12</f>
        <v>AP A</v>
      </c>
      <c r="G12" s="43">
        <f>SUMIFS(DataBase!O:O,DataBase!C:C,Tunggakan!C12)</f>
        <v>0</v>
      </c>
      <c r="H12" s="43">
        <f t="shared" si="0"/>
        <v>0</v>
      </c>
    </row>
    <row r="13" spans="2:8" x14ac:dyDescent="0.25">
      <c r="B13" s="43">
        <f>Daftar!B13</f>
        <v>9</v>
      </c>
      <c r="C13" s="43">
        <f>Daftar!C13</f>
        <v>1609</v>
      </c>
      <c r="D13" s="43" t="str">
        <f>Daftar!D13</f>
        <v>Nama9</v>
      </c>
      <c r="E13" s="43" t="str">
        <f>Daftar!E13</f>
        <v>AP A</v>
      </c>
      <c r="G13" s="43">
        <f>SUMIFS(DataBase!O:O,DataBase!C:C,Tunggakan!C13)</f>
        <v>0</v>
      </c>
      <c r="H13" s="43">
        <f t="shared" si="0"/>
        <v>0</v>
      </c>
    </row>
    <row r="14" spans="2:8" x14ac:dyDescent="0.25">
      <c r="B14" s="43">
        <f>Daftar!B14</f>
        <v>10</v>
      </c>
      <c r="C14" s="43">
        <f>Daftar!C14</f>
        <v>1610</v>
      </c>
      <c r="D14" s="43" t="str">
        <f>Daftar!D14</f>
        <v>Nama10</v>
      </c>
      <c r="E14" s="43" t="str">
        <f>Daftar!E14</f>
        <v>AP A</v>
      </c>
      <c r="G14" s="43">
        <f>SUMIFS(DataBase!O:O,DataBase!C:C,Tunggakan!C14)</f>
        <v>0</v>
      </c>
      <c r="H14" s="43">
        <f t="shared" si="0"/>
        <v>0</v>
      </c>
    </row>
    <row r="15" spans="2:8" x14ac:dyDescent="0.25">
      <c r="B15" s="43">
        <f>Daftar!B15</f>
        <v>11</v>
      </c>
      <c r="C15" s="43">
        <f>Daftar!C15</f>
        <v>1611</v>
      </c>
      <c r="D15" s="43" t="str">
        <f>Daftar!D15</f>
        <v>Nama11</v>
      </c>
      <c r="E15" s="43" t="str">
        <f>Daftar!E15</f>
        <v>AP A</v>
      </c>
      <c r="G15" s="43">
        <f>SUMIFS(DataBase!O:O,DataBase!C:C,Tunggakan!C15)</f>
        <v>0</v>
      </c>
      <c r="H15" s="43">
        <f t="shared" si="0"/>
        <v>0</v>
      </c>
    </row>
    <row r="16" spans="2:8" x14ac:dyDescent="0.25">
      <c r="B16" s="43">
        <f>Daftar!B16</f>
        <v>12</v>
      </c>
      <c r="C16" s="43">
        <f>Daftar!C16</f>
        <v>1612</v>
      </c>
      <c r="D16" s="43" t="str">
        <f>Daftar!D16</f>
        <v>Nama12</v>
      </c>
      <c r="E16" s="43" t="str">
        <f>Daftar!E16</f>
        <v>AP A</v>
      </c>
      <c r="G16" s="43">
        <f>SUMIFS(DataBase!O:O,DataBase!C:C,Tunggakan!C16)</f>
        <v>0</v>
      </c>
      <c r="H16" s="43">
        <f t="shared" si="0"/>
        <v>0</v>
      </c>
    </row>
    <row r="17" spans="2:8" x14ac:dyDescent="0.25">
      <c r="B17" s="43">
        <f>Daftar!B17</f>
        <v>13</v>
      </c>
      <c r="C17" s="43">
        <f>Daftar!C17</f>
        <v>1613</v>
      </c>
      <c r="D17" s="43" t="str">
        <f>Daftar!D17</f>
        <v>Nama13</v>
      </c>
      <c r="E17" s="43" t="str">
        <f>Daftar!E17</f>
        <v>AP A</v>
      </c>
      <c r="G17" s="43">
        <f>SUMIFS(DataBase!O:O,DataBase!C:C,Tunggakan!C17)</f>
        <v>0</v>
      </c>
      <c r="H17" s="43">
        <f t="shared" si="0"/>
        <v>0</v>
      </c>
    </row>
    <row r="18" spans="2:8" x14ac:dyDescent="0.25">
      <c r="B18" s="43">
        <f>Daftar!B18</f>
        <v>14</v>
      </c>
      <c r="C18" s="43">
        <f>Daftar!C18</f>
        <v>1614</v>
      </c>
      <c r="D18" s="43" t="str">
        <f>Daftar!D18</f>
        <v>Nama14</v>
      </c>
      <c r="E18" s="43" t="str">
        <f>Daftar!E18</f>
        <v>AP A</v>
      </c>
      <c r="G18" s="43">
        <f>SUMIFS(DataBase!O:O,DataBase!C:C,Tunggakan!C18)</f>
        <v>0</v>
      </c>
      <c r="H18" s="43">
        <f t="shared" si="0"/>
        <v>0</v>
      </c>
    </row>
    <row r="19" spans="2:8" x14ac:dyDescent="0.25">
      <c r="B19" s="43">
        <f>Daftar!B19</f>
        <v>15</v>
      </c>
      <c r="C19" s="43">
        <f>Daftar!C19</f>
        <v>1615</v>
      </c>
      <c r="D19" s="43" t="str">
        <f>Daftar!D19</f>
        <v>Nama15</v>
      </c>
      <c r="E19" s="43" t="str">
        <f>Daftar!E19</f>
        <v>AP A</v>
      </c>
      <c r="G19" s="43">
        <f>SUMIFS(DataBase!O:O,DataBase!C:C,Tunggakan!C19)</f>
        <v>0</v>
      </c>
      <c r="H19" s="43">
        <f t="shared" si="0"/>
        <v>0</v>
      </c>
    </row>
    <row r="20" spans="2:8" x14ac:dyDescent="0.25">
      <c r="B20" s="43">
        <f>Daftar!B20</f>
        <v>16</v>
      </c>
      <c r="C20" s="43">
        <f>Daftar!C20</f>
        <v>1616</v>
      </c>
      <c r="D20" s="43" t="str">
        <f>Daftar!D20</f>
        <v>Nama16</v>
      </c>
      <c r="E20" s="43" t="str">
        <f>Daftar!E20</f>
        <v>AP A</v>
      </c>
      <c r="G20" s="43">
        <f>SUMIFS(DataBase!O:O,DataBase!C:C,Tunggakan!C20)</f>
        <v>0</v>
      </c>
      <c r="H20" s="43">
        <f t="shared" si="0"/>
        <v>0</v>
      </c>
    </row>
    <row r="21" spans="2:8" x14ac:dyDescent="0.25">
      <c r="B21" s="43">
        <f>Daftar!B21</f>
        <v>17</v>
      </c>
      <c r="C21" s="43">
        <f>Daftar!C21</f>
        <v>1617</v>
      </c>
      <c r="D21" s="43" t="str">
        <f>Daftar!D21</f>
        <v>Nama17</v>
      </c>
      <c r="E21" s="43" t="str">
        <f>Daftar!E21</f>
        <v>AP A</v>
      </c>
      <c r="G21" s="43">
        <f>SUMIFS(DataBase!O:O,DataBase!C:C,Tunggakan!C21)</f>
        <v>0</v>
      </c>
      <c r="H21" s="43">
        <f t="shared" si="0"/>
        <v>0</v>
      </c>
    </row>
    <row r="22" spans="2:8" x14ac:dyDescent="0.25">
      <c r="B22" s="43">
        <f>Daftar!B22</f>
        <v>18</v>
      </c>
      <c r="C22" s="43">
        <f>Daftar!C22</f>
        <v>1618</v>
      </c>
      <c r="D22" s="43" t="str">
        <f>Daftar!D22</f>
        <v>Nama18</v>
      </c>
      <c r="E22" s="43" t="str">
        <f>Daftar!E22</f>
        <v>AP A</v>
      </c>
      <c r="G22" s="43">
        <f>SUMIFS(DataBase!O:O,DataBase!C:C,Tunggakan!C22)</f>
        <v>0</v>
      </c>
      <c r="H22" s="43">
        <f t="shared" si="0"/>
        <v>0</v>
      </c>
    </row>
    <row r="23" spans="2:8" x14ac:dyDescent="0.25">
      <c r="B23" s="43">
        <f>Daftar!B23</f>
        <v>19</v>
      </c>
      <c r="C23" s="43">
        <f>Daftar!C23</f>
        <v>1619</v>
      </c>
      <c r="D23" s="43" t="str">
        <f>Daftar!D23</f>
        <v>Nama19</v>
      </c>
      <c r="E23" s="43" t="str">
        <f>Daftar!E23</f>
        <v>AP A</v>
      </c>
      <c r="G23" s="43">
        <f>SUMIFS(DataBase!O:O,DataBase!C:C,Tunggakan!C23)</f>
        <v>0</v>
      </c>
      <c r="H23" s="43">
        <f t="shared" si="0"/>
        <v>0</v>
      </c>
    </row>
    <row r="24" spans="2:8" x14ac:dyDescent="0.25">
      <c r="B24" s="43">
        <f>Daftar!B24</f>
        <v>20</v>
      </c>
      <c r="C24" s="43">
        <f>Daftar!C24</f>
        <v>1620</v>
      </c>
      <c r="D24" s="43" t="str">
        <f>Daftar!D24</f>
        <v>Nama20</v>
      </c>
      <c r="E24" s="43" t="str">
        <f>Daftar!E24</f>
        <v>AP A</v>
      </c>
      <c r="G24" s="43">
        <f>SUMIFS(DataBase!O:O,DataBase!C:C,Tunggakan!C24)</f>
        <v>0</v>
      </c>
      <c r="H24" s="43">
        <f t="shared" si="0"/>
        <v>0</v>
      </c>
    </row>
    <row r="25" spans="2:8" x14ac:dyDescent="0.25">
      <c r="B25" s="43">
        <f>Daftar!B25</f>
        <v>0</v>
      </c>
      <c r="C25" s="43">
        <f>Daftar!C25</f>
        <v>0</v>
      </c>
      <c r="D25" s="43">
        <f>Daftar!D25</f>
        <v>0</v>
      </c>
      <c r="E25" s="43">
        <f>Daftar!E25</f>
        <v>0</v>
      </c>
    </row>
    <row r="26" spans="2:8" x14ac:dyDescent="0.25">
      <c r="B26" s="43">
        <f>Daftar!B26</f>
        <v>0</v>
      </c>
      <c r="C26" s="43">
        <f>Daftar!C26</f>
        <v>0</v>
      </c>
      <c r="D26" s="43">
        <f>Daftar!D26</f>
        <v>0</v>
      </c>
      <c r="E26" s="43">
        <f>Daftar!E26</f>
        <v>0</v>
      </c>
    </row>
    <row r="27" spans="2:8" x14ac:dyDescent="0.25">
      <c r="B27" s="43">
        <f>Daftar!B27</f>
        <v>0</v>
      </c>
      <c r="C27" s="43">
        <f>Daftar!C27</f>
        <v>0</v>
      </c>
      <c r="D27" s="43">
        <f>Daftar!D27</f>
        <v>0</v>
      </c>
      <c r="E27" s="43">
        <f>Daftar!E27</f>
        <v>0</v>
      </c>
    </row>
    <row r="28" spans="2:8" x14ac:dyDescent="0.25">
      <c r="B28" s="43">
        <f>Daftar!B28</f>
        <v>0</v>
      </c>
      <c r="C28" s="43">
        <f>Daftar!C28</f>
        <v>0</v>
      </c>
      <c r="D28" s="43">
        <f>Daftar!D28</f>
        <v>0</v>
      </c>
      <c r="E28" s="43">
        <f>Daftar!E28</f>
        <v>0</v>
      </c>
    </row>
    <row r="29" spans="2:8" x14ac:dyDescent="0.25">
      <c r="B29" s="43">
        <f>Daftar!B29</f>
        <v>0</v>
      </c>
      <c r="C29" s="43">
        <f>Daftar!C29</f>
        <v>0</v>
      </c>
      <c r="D29" s="43">
        <f>Daftar!D29</f>
        <v>0</v>
      </c>
      <c r="E29" s="43">
        <f>Daftar!E29</f>
        <v>0</v>
      </c>
    </row>
    <row r="30" spans="2:8" x14ac:dyDescent="0.25">
      <c r="B30" s="43">
        <f>Daftar!B30</f>
        <v>0</v>
      </c>
      <c r="C30" s="43">
        <f>Daftar!C30</f>
        <v>0</v>
      </c>
      <c r="D30" s="43">
        <f>Daftar!D30</f>
        <v>0</v>
      </c>
      <c r="E30" s="43">
        <f>Daftar!E30</f>
        <v>0</v>
      </c>
    </row>
    <row r="31" spans="2:8" x14ac:dyDescent="0.25">
      <c r="B31" s="43">
        <f>Daftar!B31</f>
        <v>0</v>
      </c>
      <c r="C31" s="43">
        <f>Daftar!C31</f>
        <v>0</v>
      </c>
      <c r="D31" s="43">
        <f>Daftar!D31</f>
        <v>0</v>
      </c>
      <c r="E31" s="43">
        <f>Daftar!E31</f>
        <v>0</v>
      </c>
    </row>
    <row r="32" spans="2:8" x14ac:dyDescent="0.25">
      <c r="B32" s="43">
        <f>Daftar!B32</f>
        <v>0</v>
      </c>
      <c r="C32" s="43">
        <f>Daftar!C32</f>
        <v>0</v>
      </c>
      <c r="D32" s="43">
        <f>Daftar!D32</f>
        <v>0</v>
      </c>
      <c r="E32" s="43">
        <f>Daftar!E32</f>
        <v>0</v>
      </c>
    </row>
    <row r="33" spans="2:5" x14ac:dyDescent="0.25">
      <c r="B33" s="43">
        <f>Daftar!B33</f>
        <v>0</v>
      </c>
      <c r="C33" s="43">
        <f>Daftar!C33</f>
        <v>0</v>
      </c>
      <c r="D33" s="43">
        <f>Daftar!D33</f>
        <v>0</v>
      </c>
      <c r="E33" s="43">
        <f>Daftar!E33</f>
        <v>0</v>
      </c>
    </row>
    <row r="34" spans="2:5" x14ac:dyDescent="0.25">
      <c r="B34" s="43">
        <f>Daftar!B34</f>
        <v>0</v>
      </c>
      <c r="C34" s="43">
        <f>Daftar!C34</f>
        <v>0</v>
      </c>
      <c r="D34" s="43">
        <f>Daftar!D34</f>
        <v>0</v>
      </c>
      <c r="E34" s="43">
        <f>Daftar!E34</f>
        <v>0</v>
      </c>
    </row>
    <row r="35" spans="2:5" x14ac:dyDescent="0.25">
      <c r="B35" s="43">
        <f>Daftar!B35</f>
        <v>0</v>
      </c>
      <c r="C35" s="43">
        <f>Daftar!C35</f>
        <v>0</v>
      </c>
      <c r="D35" s="43">
        <f>Daftar!D35</f>
        <v>0</v>
      </c>
      <c r="E35" s="43">
        <f>Daftar!E35</f>
        <v>0</v>
      </c>
    </row>
    <row r="36" spans="2:5" x14ac:dyDescent="0.25">
      <c r="B36" s="43">
        <f>Daftar!B36</f>
        <v>0</v>
      </c>
      <c r="C36" s="43">
        <f>Daftar!C36</f>
        <v>0</v>
      </c>
      <c r="D36" s="43">
        <f>Daftar!D36</f>
        <v>0</v>
      </c>
      <c r="E36" s="43">
        <f>Daftar!E36</f>
        <v>0</v>
      </c>
    </row>
    <row r="37" spans="2:5" x14ac:dyDescent="0.25">
      <c r="B37" s="43">
        <f>Daftar!B37</f>
        <v>0</v>
      </c>
      <c r="C37" s="43">
        <f>Daftar!C37</f>
        <v>0</v>
      </c>
      <c r="D37" s="43">
        <f>Daftar!D37</f>
        <v>0</v>
      </c>
      <c r="E37" s="43">
        <f>Daftar!E37</f>
        <v>0</v>
      </c>
    </row>
    <row r="38" spans="2:5" x14ac:dyDescent="0.25">
      <c r="B38" s="43">
        <f>Daftar!B38</f>
        <v>0</v>
      </c>
      <c r="C38" s="43">
        <f>Daftar!C38</f>
        <v>0</v>
      </c>
      <c r="D38" s="43">
        <f>Daftar!D38</f>
        <v>0</v>
      </c>
      <c r="E38" s="43">
        <f>Daftar!E38</f>
        <v>0</v>
      </c>
    </row>
    <row r="39" spans="2:5" x14ac:dyDescent="0.25">
      <c r="B39" s="43">
        <f>Daftar!B39</f>
        <v>0</v>
      </c>
      <c r="C39" s="43">
        <f>Daftar!C39</f>
        <v>0</v>
      </c>
      <c r="D39" s="43">
        <f>Daftar!D39</f>
        <v>0</v>
      </c>
      <c r="E39" s="43">
        <f>Daftar!E39</f>
        <v>0</v>
      </c>
    </row>
    <row r="40" spans="2:5" x14ac:dyDescent="0.25">
      <c r="B40" s="43">
        <f>Daftar!B40</f>
        <v>0</v>
      </c>
      <c r="C40" s="43">
        <f>Daftar!C40</f>
        <v>0</v>
      </c>
      <c r="D40" s="43">
        <f>Daftar!D40</f>
        <v>0</v>
      </c>
      <c r="E40" s="43">
        <f>Daftar!E40</f>
        <v>0</v>
      </c>
    </row>
    <row r="41" spans="2:5" x14ac:dyDescent="0.25">
      <c r="B41" s="43">
        <f>Daftar!B41</f>
        <v>0</v>
      </c>
      <c r="C41" s="43">
        <f>Daftar!C41</f>
        <v>0</v>
      </c>
      <c r="D41" s="43">
        <f>Daftar!D41</f>
        <v>0</v>
      </c>
      <c r="E41" s="43">
        <f>Daftar!E41</f>
        <v>0</v>
      </c>
    </row>
    <row r="42" spans="2:5" x14ac:dyDescent="0.25">
      <c r="B42" s="43">
        <f>Daftar!B42</f>
        <v>0</v>
      </c>
      <c r="C42" s="43">
        <f>Daftar!C42</f>
        <v>0</v>
      </c>
      <c r="D42" s="43">
        <f>Daftar!D42</f>
        <v>0</v>
      </c>
      <c r="E42" s="43">
        <f>Daftar!E42</f>
        <v>0</v>
      </c>
    </row>
    <row r="43" spans="2:5" x14ac:dyDescent="0.25">
      <c r="B43" s="43">
        <f>Daftar!B43</f>
        <v>0</v>
      </c>
      <c r="C43" s="43">
        <f>Daftar!C43</f>
        <v>0</v>
      </c>
      <c r="D43" s="43">
        <f>Daftar!D43</f>
        <v>0</v>
      </c>
      <c r="E43" s="43">
        <f>Daftar!E43</f>
        <v>0</v>
      </c>
    </row>
    <row r="44" spans="2:5" x14ac:dyDescent="0.25">
      <c r="B44" s="43">
        <f>Daftar!B44</f>
        <v>0</v>
      </c>
      <c r="C44" s="43">
        <f>Daftar!C44</f>
        <v>0</v>
      </c>
      <c r="D44" s="43">
        <f>Daftar!D44</f>
        <v>0</v>
      </c>
      <c r="E44" s="43">
        <f>Daftar!E44</f>
        <v>0</v>
      </c>
    </row>
    <row r="45" spans="2:5" x14ac:dyDescent="0.25">
      <c r="B45" s="43">
        <f>Daftar!B45</f>
        <v>0</v>
      </c>
      <c r="C45" s="43">
        <f>Daftar!C45</f>
        <v>0</v>
      </c>
      <c r="D45" s="43">
        <f>Daftar!D45</f>
        <v>0</v>
      </c>
      <c r="E45" s="43">
        <f>Daftar!E45</f>
        <v>0</v>
      </c>
    </row>
    <row r="46" spans="2:5" x14ac:dyDescent="0.25">
      <c r="B46" s="43">
        <f>Daftar!B46</f>
        <v>0</v>
      </c>
      <c r="C46" s="43">
        <f>Daftar!C46</f>
        <v>0</v>
      </c>
      <c r="D46" s="43">
        <f>Daftar!D46</f>
        <v>0</v>
      </c>
      <c r="E46" s="43">
        <f>Daftar!E46</f>
        <v>0</v>
      </c>
    </row>
    <row r="47" spans="2:5" x14ac:dyDescent="0.25">
      <c r="B47" s="43">
        <f>Daftar!B47</f>
        <v>0</v>
      </c>
      <c r="C47" s="43">
        <f>Daftar!C47</f>
        <v>0</v>
      </c>
      <c r="D47" s="43">
        <f>Daftar!D47</f>
        <v>0</v>
      </c>
      <c r="E47" s="43">
        <f>Daftar!E47</f>
        <v>0</v>
      </c>
    </row>
    <row r="48" spans="2:5" x14ac:dyDescent="0.25">
      <c r="B48" s="43">
        <f>Daftar!B48</f>
        <v>0</v>
      </c>
      <c r="C48" s="43">
        <f>Daftar!C48</f>
        <v>0</v>
      </c>
      <c r="D48" s="43">
        <f>Daftar!D48</f>
        <v>0</v>
      </c>
      <c r="E48" s="43">
        <f>Daftar!E48</f>
        <v>0</v>
      </c>
    </row>
    <row r="49" spans="2:5" x14ac:dyDescent="0.25">
      <c r="B49" s="43">
        <f>Daftar!B49</f>
        <v>0</v>
      </c>
      <c r="C49" s="43">
        <f>Daftar!C49</f>
        <v>0</v>
      </c>
      <c r="D49" s="43">
        <f>Daftar!D49</f>
        <v>0</v>
      </c>
      <c r="E49" s="43">
        <f>Daftar!E49</f>
        <v>0</v>
      </c>
    </row>
    <row r="50" spans="2:5" x14ac:dyDescent="0.25">
      <c r="B50" s="43">
        <f>Daftar!B50</f>
        <v>0</v>
      </c>
      <c r="C50" s="43">
        <f>Daftar!C50</f>
        <v>0</v>
      </c>
      <c r="D50" s="43">
        <f>Daftar!D50</f>
        <v>0</v>
      </c>
      <c r="E50" s="43">
        <f>Daftar!E50</f>
        <v>0</v>
      </c>
    </row>
    <row r="51" spans="2:5" x14ac:dyDescent="0.25">
      <c r="B51" s="43">
        <f>Daftar!B51</f>
        <v>0</v>
      </c>
      <c r="C51" s="43">
        <f>Daftar!C51</f>
        <v>0</v>
      </c>
      <c r="D51" s="43">
        <f>Daftar!D51</f>
        <v>0</v>
      </c>
      <c r="E51" s="43">
        <f>Daftar!E51</f>
        <v>0</v>
      </c>
    </row>
    <row r="52" spans="2:5" x14ac:dyDescent="0.25">
      <c r="B52" s="43">
        <f>Daftar!B52</f>
        <v>0</v>
      </c>
      <c r="C52" s="43">
        <f>Daftar!C52</f>
        <v>0</v>
      </c>
      <c r="D52" s="43">
        <f>Daftar!D52</f>
        <v>0</v>
      </c>
      <c r="E52" s="43">
        <f>Daftar!E52</f>
        <v>0</v>
      </c>
    </row>
    <row r="53" spans="2:5" x14ac:dyDescent="0.25">
      <c r="B53" s="43">
        <f>Daftar!B53</f>
        <v>0</v>
      </c>
      <c r="C53" s="43">
        <f>Daftar!C53</f>
        <v>0</v>
      </c>
      <c r="D53" s="43">
        <f>Daftar!D53</f>
        <v>0</v>
      </c>
      <c r="E53" s="43">
        <f>Daftar!E53</f>
        <v>0</v>
      </c>
    </row>
    <row r="54" spans="2:5" x14ac:dyDescent="0.25">
      <c r="B54" s="43">
        <f>Daftar!B54</f>
        <v>0</v>
      </c>
      <c r="C54" s="43">
        <f>Daftar!C54</f>
        <v>0</v>
      </c>
      <c r="D54" s="43">
        <f>Daftar!D54</f>
        <v>0</v>
      </c>
      <c r="E54" s="43">
        <f>Daftar!E54</f>
        <v>0</v>
      </c>
    </row>
    <row r="55" spans="2:5" x14ac:dyDescent="0.25">
      <c r="B55" s="43">
        <f>Daftar!B55</f>
        <v>0</v>
      </c>
      <c r="C55" s="43">
        <f>Daftar!C55</f>
        <v>0</v>
      </c>
      <c r="D55" s="43">
        <f>Daftar!D55</f>
        <v>0</v>
      </c>
      <c r="E55" s="43">
        <f>Daftar!E55</f>
        <v>0</v>
      </c>
    </row>
    <row r="56" spans="2:5" x14ac:dyDescent="0.25">
      <c r="B56" s="43">
        <f>Daftar!B56</f>
        <v>0</v>
      </c>
      <c r="C56" s="43">
        <f>Daftar!C56</f>
        <v>0</v>
      </c>
      <c r="D56" s="43">
        <f>Daftar!D56</f>
        <v>0</v>
      </c>
      <c r="E56" s="43">
        <f>Daftar!E56</f>
        <v>0</v>
      </c>
    </row>
    <row r="57" spans="2:5" x14ac:dyDescent="0.25">
      <c r="B57" s="43">
        <f>Daftar!B57</f>
        <v>0</v>
      </c>
      <c r="C57" s="43">
        <f>Daftar!C57</f>
        <v>0</v>
      </c>
      <c r="D57" s="43">
        <f>Daftar!D57</f>
        <v>0</v>
      </c>
      <c r="E57" s="43">
        <f>Daftar!E57</f>
        <v>0</v>
      </c>
    </row>
    <row r="58" spans="2:5" x14ac:dyDescent="0.25">
      <c r="B58" s="43">
        <f>Daftar!B58</f>
        <v>0</v>
      </c>
      <c r="C58" s="43">
        <f>Daftar!C58</f>
        <v>0</v>
      </c>
      <c r="D58" s="43">
        <f>Daftar!D58</f>
        <v>0</v>
      </c>
      <c r="E58" s="43">
        <f>Daftar!E58</f>
        <v>0</v>
      </c>
    </row>
    <row r="59" spans="2:5" x14ac:dyDescent="0.25">
      <c r="B59" s="43">
        <f>Daftar!B59</f>
        <v>0</v>
      </c>
      <c r="C59" s="43">
        <f>Daftar!C59</f>
        <v>0</v>
      </c>
      <c r="D59" s="43">
        <f>Daftar!D59</f>
        <v>0</v>
      </c>
      <c r="E59" s="43">
        <f>Daftar!E59</f>
        <v>0</v>
      </c>
    </row>
    <row r="60" spans="2:5" x14ac:dyDescent="0.25">
      <c r="B60" s="43">
        <f>Daftar!B60</f>
        <v>0</v>
      </c>
      <c r="C60" s="43">
        <f>Daftar!C60</f>
        <v>0</v>
      </c>
      <c r="D60" s="43">
        <f>Daftar!D60</f>
        <v>0</v>
      </c>
      <c r="E60" s="43">
        <f>Daftar!E60</f>
        <v>0</v>
      </c>
    </row>
    <row r="61" spans="2:5" x14ac:dyDescent="0.25">
      <c r="B61" s="43">
        <f>Daftar!B61</f>
        <v>0</v>
      </c>
      <c r="C61" s="43">
        <f>Daftar!C61</f>
        <v>0</v>
      </c>
      <c r="D61" s="43">
        <f>Daftar!D61</f>
        <v>0</v>
      </c>
      <c r="E61" s="43">
        <f>Daftar!E61</f>
        <v>0</v>
      </c>
    </row>
    <row r="62" spans="2:5" x14ac:dyDescent="0.25">
      <c r="B62" s="43">
        <f>Daftar!B62</f>
        <v>0</v>
      </c>
      <c r="C62" s="43">
        <f>Daftar!C62</f>
        <v>0</v>
      </c>
      <c r="D62" s="43">
        <f>Daftar!D62</f>
        <v>0</v>
      </c>
      <c r="E62" s="43">
        <f>Daftar!E62</f>
        <v>0</v>
      </c>
    </row>
    <row r="63" spans="2:5" x14ac:dyDescent="0.25">
      <c r="B63" s="43">
        <f>Daftar!B63</f>
        <v>0</v>
      </c>
      <c r="C63" s="43">
        <f>Daftar!C63</f>
        <v>0</v>
      </c>
      <c r="D63" s="43">
        <f>Daftar!D63</f>
        <v>0</v>
      </c>
      <c r="E63" s="43">
        <f>Daftar!E63</f>
        <v>0</v>
      </c>
    </row>
    <row r="64" spans="2:5" x14ac:dyDescent="0.25">
      <c r="B64" s="43">
        <f>Daftar!B64</f>
        <v>0</v>
      </c>
      <c r="C64" s="43">
        <f>Daftar!C64</f>
        <v>0</v>
      </c>
      <c r="D64" s="43">
        <f>Daftar!D64</f>
        <v>0</v>
      </c>
      <c r="E64" s="43">
        <f>Daftar!E64</f>
        <v>0</v>
      </c>
    </row>
    <row r="65" spans="2:5" x14ac:dyDescent="0.25">
      <c r="B65" s="43">
        <f>Daftar!B65</f>
        <v>0</v>
      </c>
      <c r="C65" s="43">
        <f>Daftar!C65</f>
        <v>0</v>
      </c>
      <c r="D65" s="43">
        <f>Daftar!D65</f>
        <v>0</v>
      </c>
      <c r="E65" s="43">
        <f>Daftar!E65</f>
        <v>0</v>
      </c>
    </row>
    <row r="66" spans="2:5" x14ac:dyDescent="0.25">
      <c r="B66" s="43">
        <f>Daftar!B66</f>
        <v>0</v>
      </c>
      <c r="C66" s="43">
        <f>Daftar!C66</f>
        <v>0</v>
      </c>
      <c r="D66" s="43">
        <f>Daftar!D66</f>
        <v>0</v>
      </c>
      <c r="E66" s="43">
        <f>Daftar!E66</f>
        <v>0</v>
      </c>
    </row>
    <row r="67" spans="2:5" x14ac:dyDescent="0.25">
      <c r="B67" s="43">
        <f>Daftar!B67</f>
        <v>0</v>
      </c>
      <c r="C67" s="43">
        <f>Daftar!C67</f>
        <v>0</v>
      </c>
      <c r="D67" s="43">
        <f>Daftar!D67</f>
        <v>0</v>
      </c>
      <c r="E67" s="43">
        <f>Daftar!E67</f>
        <v>0</v>
      </c>
    </row>
    <row r="68" spans="2:5" x14ac:dyDescent="0.25">
      <c r="B68" s="43">
        <f>Daftar!B68</f>
        <v>0</v>
      </c>
      <c r="C68" s="43">
        <f>Daftar!C68</f>
        <v>0</v>
      </c>
      <c r="D68" s="43">
        <f>Daftar!D68</f>
        <v>0</v>
      </c>
      <c r="E68" s="43">
        <f>Daftar!E68</f>
        <v>0</v>
      </c>
    </row>
    <row r="69" spans="2:5" x14ac:dyDescent="0.25">
      <c r="B69" s="43">
        <f>Daftar!B69</f>
        <v>0</v>
      </c>
      <c r="C69" s="43">
        <f>Daftar!C69</f>
        <v>0</v>
      </c>
      <c r="D69" s="43">
        <f>Daftar!D69</f>
        <v>0</v>
      </c>
      <c r="E69" s="43">
        <f>Daftar!E69</f>
        <v>0</v>
      </c>
    </row>
    <row r="70" spans="2:5" x14ac:dyDescent="0.25">
      <c r="B70" s="43">
        <f>Daftar!B70</f>
        <v>0</v>
      </c>
      <c r="C70" s="43">
        <f>Daftar!C70</f>
        <v>0</v>
      </c>
      <c r="D70" s="43">
        <f>Daftar!D70</f>
        <v>0</v>
      </c>
      <c r="E70" s="43">
        <f>Daftar!E70</f>
        <v>0</v>
      </c>
    </row>
    <row r="71" spans="2:5" x14ac:dyDescent="0.25">
      <c r="B71" s="43">
        <f>Daftar!B71</f>
        <v>0</v>
      </c>
      <c r="C71" s="43">
        <f>Daftar!C71</f>
        <v>0</v>
      </c>
      <c r="D71" s="43">
        <f>Daftar!D71</f>
        <v>0</v>
      </c>
      <c r="E71" s="43">
        <f>Daftar!E71</f>
        <v>0</v>
      </c>
    </row>
    <row r="72" spans="2:5" x14ac:dyDescent="0.25">
      <c r="B72" s="43">
        <f>Daftar!B72</f>
        <v>0</v>
      </c>
      <c r="C72" s="43">
        <f>Daftar!C72</f>
        <v>0</v>
      </c>
      <c r="D72" s="43">
        <f>Daftar!D72</f>
        <v>0</v>
      </c>
      <c r="E72" s="43">
        <f>Daftar!E72</f>
        <v>0</v>
      </c>
    </row>
    <row r="73" spans="2:5" x14ac:dyDescent="0.25">
      <c r="B73" s="43">
        <f>Daftar!B73</f>
        <v>0</v>
      </c>
      <c r="C73" s="43">
        <f>Daftar!C73</f>
        <v>0</v>
      </c>
      <c r="D73" s="43">
        <f>Daftar!D73</f>
        <v>0</v>
      </c>
      <c r="E73" s="43">
        <f>Daftar!E73</f>
        <v>0</v>
      </c>
    </row>
    <row r="74" spans="2:5" x14ac:dyDescent="0.25">
      <c r="B74" s="43">
        <f>Daftar!B74</f>
        <v>0</v>
      </c>
      <c r="C74" s="43">
        <f>Daftar!C74</f>
        <v>0</v>
      </c>
      <c r="D74" s="43">
        <f>Daftar!D74</f>
        <v>0</v>
      </c>
      <c r="E74" s="43">
        <f>Daftar!E74</f>
        <v>0</v>
      </c>
    </row>
    <row r="75" spans="2:5" x14ac:dyDescent="0.25">
      <c r="B75" s="43">
        <f>Daftar!B75</f>
        <v>0</v>
      </c>
      <c r="C75" s="43">
        <f>Daftar!C75</f>
        <v>0</v>
      </c>
      <c r="D75" s="43">
        <f>Daftar!D75</f>
        <v>0</v>
      </c>
      <c r="E75" s="43">
        <f>Daftar!E75</f>
        <v>0</v>
      </c>
    </row>
    <row r="76" spans="2:5" x14ac:dyDescent="0.25">
      <c r="B76" s="43">
        <f>Daftar!B76</f>
        <v>0</v>
      </c>
      <c r="C76" s="43">
        <f>Daftar!C76</f>
        <v>0</v>
      </c>
      <c r="D76" s="43">
        <f>Daftar!D76</f>
        <v>0</v>
      </c>
      <c r="E76" s="43">
        <f>Daftar!E76</f>
        <v>0</v>
      </c>
    </row>
    <row r="77" spans="2:5" x14ac:dyDescent="0.25">
      <c r="B77" s="43">
        <f>Daftar!B77</f>
        <v>0</v>
      </c>
      <c r="C77" s="43">
        <f>Daftar!C77</f>
        <v>0</v>
      </c>
      <c r="D77" s="43">
        <f>Daftar!D77</f>
        <v>0</v>
      </c>
      <c r="E77" s="43">
        <f>Daftar!E77</f>
        <v>0</v>
      </c>
    </row>
    <row r="78" spans="2:5" x14ac:dyDescent="0.25">
      <c r="B78" s="43">
        <f>Daftar!B78</f>
        <v>0</v>
      </c>
      <c r="C78" s="43">
        <f>Daftar!C78</f>
        <v>0</v>
      </c>
      <c r="D78" s="43">
        <f>Daftar!D78</f>
        <v>0</v>
      </c>
      <c r="E78" s="43">
        <f>Daftar!E78</f>
        <v>0</v>
      </c>
    </row>
    <row r="79" spans="2:5" x14ac:dyDescent="0.25">
      <c r="B79" s="43">
        <f>Daftar!B79</f>
        <v>0</v>
      </c>
      <c r="C79" s="43">
        <f>Daftar!C79</f>
        <v>0</v>
      </c>
      <c r="D79" s="43">
        <f>Daftar!D79</f>
        <v>0</v>
      </c>
      <c r="E79" s="43">
        <f>Daftar!E79</f>
        <v>0</v>
      </c>
    </row>
    <row r="80" spans="2:5" x14ac:dyDescent="0.25">
      <c r="B80" s="43">
        <f>Daftar!B80</f>
        <v>0</v>
      </c>
      <c r="C80" s="43">
        <f>Daftar!C80</f>
        <v>0</v>
      </c>
      <c r="D80" s="43">
        <f>Daftar!D80</f>
        <v>0</v>
      </c>
      <c r="E80" s="43">
        <f>Daftar!E80</f>
        <v>0</v>
      </c>
    </row>
    <row r="81" spans="2:5" x14ac:dyDescent="0.25">
      <c r="B81" s="43">
        <f>Daftar!B81</f>
        <v>0</v>
      </c>
      <c r="C81" s="43">
        <f>Daftar!C81</f>
        <v>0</v>
      </c>
      <c r="D81" s="43">
        <f>Daftar!D81</f>
        <v>0</v>
      </c>
      <c r="E81" s="43">
        <f>Daftar!E81</f>
        <v>0</v>
      </c>
    </row>
    <row r="82" spans="2:5" x14ac:dyDescent="0.25">
      <c r="B82" s="43">
        <f>Daftar!B82</f>
        <v>0</v>
      </c>
      <c r="C82" s="43">
        <f>Daftar!C82</f>
        <v>0</v>
      </c>
      <c r="D82" s="43">
        <f>Daftar!D82</f>
        <v>0</v>
      </c>
      <c r="E82" s="43">
        <f>Daftar!E82</f>
        <v>0</v>
      </c>
    </row>
    <row r="83" spans="2:5" x14ac:dyDescent="0.25">
      <c r="B83" s="43">
        <f>Daftar!B83</f>
        <v>0</v>
      </c>
      <c r="C83" s="43">
        <f>Daftar!C83</f>
        <v>0</v>
      </c>
      <c r="D83" s="43">
        <f>Daftar!D83</f>
        <v>0</v>
      </c>
      <c r="E83" s="43">
        <f>Daftar!E83</f>
        <v>0</v>
      </c>
    </row>
    <row r="84" spans="2:5" x14ac:dyDescent="0.25">
      <c r="B84" s="43">
        <f>Daftar!B84</f>
        <v>0</v>
      </c>
      <c r="C84" s="43">
        <f>Daftar!C84</f>
        <v>0</v>
      </c>
      <c r="D84" s="43">
        <f>Daftar!D84</f>
        <v>0</v>
      </c>
      <c r="E84" s="43">
        <f>Daftar!E84</f>
        <v>0</v>
      </c>
    </row>
    <row r="85" spans="2:5" x14ac:dyDescent="0.25">
      <c r="B85" s="43">
        <f>Daftar!B85</f>
        <v>0</v>
      </c>
      <c r="C85" s="43">
        <f>Daftar!C85</f>
        <v>0</v>
      </c>
      <c r="D85" s="43">
        <f>Daftar!D85</f>
        <v>0</v>
      </c>
      <c r="E85" s="43">
        <f>Daftar!E85</f>
        <v>0</v>
      </c>
    </row>
    <row r="86" spans="2:5" x14ac:dyDescent="0.25">
      <c r="B86" s="43">
        <f>Daftar!B86</f>
        <v>0</v>
      </c>
      <c r="C86" s="43">
        <f>Daftar!C86</f>
        <v>0</v>
      </c>
      <c r="D86" s="43">
        <f>Daftar!D86</f>
        <v>0</v>
      </c>
      <c r="E86" s="43">
        <f>Daftar!E86</f>
        <v>0</v>
      </c>
    </row>
    <row r="87" spans="2:5" x14ac:dyDescent="0.25">
      <c r="B87" s="43">
        <f>Daftar!B87</f>
        <v>0</v>
      </c>
      <c r="C87" s="43">
        <f>Daftar!C87</f>
        <v>0</v>
      </c>
      <c r="D87" s="43">
        <f>Daftar!D87</f>
        <v>0</v>
      </c>
      <c r="E87" s="43">
        <f>Daftar!E87</f>
        <v>0</v>
      </c>
    </row>
    <row r="88" spans="2:5" x14ac:dyDescent="0.25">
      <c r="B88" s="43">
        <f>Daftar!B88</f>
        <v>0</v>
      </c>
      <c r="C88" s="43">
        <f>Daftar!C88</f>
        <v>0</v>
      </c>
      <c r="D88" s="43">
        <f>Daftar!D88</f>
        <v>0</v>
      </c>
      <c r="E88" s="43">
        <f>Daftar!E88</f>
        <v>0</v>
      </c>
    </row>
    <row r="89" spans="2:5" x14ac:dyDescent="0.25">
      <c r="B89" s="43">
        <f>Daftar!B89</f>
        <v>0</v>
      </c>
      <c r="C89" s="43">
        <f>Daftar!C89</f>
        <v>0</v>
      </c>
      <c r="D89" s="43">
        <f>Daftar!D89</f>
        <v>0</v>
      </c>
      <c r="E89" s="43">
        <f>Daftar!E89</f>
        <v>0</v>
      </c>
    </row>
    <row r="90" spans="2:5" x14ac:dyDescent="0.25">
      <c r="B90" s="43">
        <f>Daftar!B90</f>
        <v>0</v>
      </c>
      <c r="C90" s="43">
        <f>Daftar!C90</f>
        <v>0</v>
      </c>
      <c r="D90" s="43">
        <f>Daftar!D90</f>
        <v>0</v>
      </c>
      <c r="E90" s="43">
        <f>Daftar!E90</f>
        <v>0</v>
      </c>
    </row>
    <row r="91" spans="2:5" x14ac:dyDescent="0.25">
      <c r="B91" s="43">
        <f>Daftar!B91</f>
        <v>0</v>
      </c>
      <c r="C91" s="43">
        <f>Daftar!C91</f>
        <v>0</v>
      </c>
      <c r="D91" s="43">
        <f>Daftar!D91</f>
        <v>0</v>
      </c>
      <c r="E91" s="43">
        <f>Daftar!E91</f>
        <v>0</v>
      </c>
    </row>
    <row r="92" spans="2:5" x14ac:dyDescent="0.25">
      <c r="B92" s="43">
        <f>Daftar!B92</f>
        <v>0</v>
      </c>
      <c r="C92" s="43">
        <f>Daftar!C92</f>
        <v>0</v>
      </c>
      <c r="D92" s="43">
        <f>Daftar!D92</f>
        <v>0</v>
      </c>
      <c r="E92" s="43">
        <f>Daftar!E92</f>
        <v>0</v>
      </c>
    </row>
    <row r="93" spans="2:5" x14ac:dyDescent="0.25">
      <c r="B93" s="43">
        <f>Daftar!B93</f>
        <v>0</v>
      </c>
      <c r="C93" s="43">
        <f>Daftar!C93</f>
        <v>0</v>
      </c>
      <c r="D93" s="43">
        <f>Daftar!D93</f>
        <v>0</v>
      </c>
      <c r="E93" s="43">
        <f>Daftar!E93</f>
        <v>0</v>
      </c>
    </row>
    <row r="94" spans="2:5" x14ac:dyDescent="0.25">
      <c r="B94" s="43">
        <f>Daftar!B94</f>
        <v>0</v>
      </c>
      <c r="C94" s="43">
        <f>Daftar!C94</f>
        <v>0</v>
      </c>
      <c r="D94" s="43">
        <f>Daftar!D94</f>
        <v>0</v>
      </c>
      <c r="E94" s="43">
        <f>Daftar!E94</f>
        <v>0</v>
      </c>
    </row>
    <row r="95" spans="2:5" x14ac:dyDescent="0.25">
      <c r="B95" s="43">
        <f>Daftar!B95</f>
        <v>0</v>
      </c>
      <c r="C95" s="43">
        <f>Daftar!C95</f>
        <v>0</v>
      </c>
      <c r="D95" s="43">
        <f>Daftar!D95</f>
        <v>0</v>
      </c>
      <c r="E95" s="43">
        <f>Daftar!E95</f>
        <v>0</v>
      </c>
    </row>
    <row r="96" spans="2:5" x14ac:dyDescent="0.25">
      <c r="B96" s="43">
        <f>Daftar!B96</f>
        <v>0</v>
      </c>
      <c r="C96" s="43">
        <f>Daftar!C96</f>
        <v>0</v>
      </c>
      <c r="D96" s="43">
        <f>Daftar!D96</f>
        <v>0</v>
      </c>
      <c r="E96" s="43">
        <f>Daftar!E96</f>
        <v>0</v>
      </c>
    </row>
    <row r="97" spans="2:5" x14ac:dyDescent="0.25">
      <c r="B97" s="43">
        <f>Daftar!B97</f>
        <v>0</v>
      </c>
      <c r="C97" s="43">
        <f>Daftar!C97</f>
        <v>0</v>
      </c>
      <c r="D97" s="43">
        <f>Daftar!D97</f>
        <v>0</v>
      </c>
      <c r="E97" s="43">
        <f>Daftar!E97</f>
        <v>0</v>
      </c>
    </row>
    <row r="98" spans="2:5" x14ac:dyDescent="0.25">
      <c r="B98" s="43">
        <f>Daftar!B98</f>
        <v>0</v>
      </c>
      <c r="C98" s="43">
        <f>Daftar!C98</f>
        <v>0</v>
      </c>
      <c r="D98" s="43">
        <f>Daftar!D98</f>
        <v>0</v>
      </c>
      <c r="E98" s="43">
        <f>Daftar!E98</f>
        <v>0</v>
      </c>
    </row>
    <row r="99" spans="2:5" x14ac:dyDescent="0.25">
      <c r="B99" s="43">
        <f>Daftar!B99</f>
        <v>0</v>
      </c>
      <c r="C99" s="43">
        <f>Daftar!C99</f>
        <v>0</v>
      </c>
      <c r="D99" s="43">
        <f>Daftar!D99</f>
        <v>0</v>
      </c>
      <c r="E99" s="43">
        <f>Daftar!E99</f>
        <v>0</v>
      </c>
    </row>
    <row r="100" spans="2:5" x14ac:dyDescent="0.25">
      <c r="B100" s="43">
        <f>Daftar!B100</f>
        <v>0</v>
      </c>
      <c r="C100" s="43">
        <f>Daftar!C100</f>
        <v>0</v>
      </c>
      <c r="D100" s="43">
        <f>Daftar!D100</f>
        <v>0</v>
      </c>
      <c r="E100" s="43">
        <f>Daftar!E100</f>
        <v>0</v>
      </c>
    </row>
    <row r="101" spans="2:5" x14ac:dyDescent="0.25">
      <c r="B101" s="43">
        <f>Daftar!B101</f>
        <v>0</v>
      </c>
      <c r="C101" s="43">
        <f>Daftar!C101</f>
        <v>0</v>
      </c>
      <c r="D101" s="43">
        <f>Daftar!D101</f>
        <v>0</v>
      </c>
      <c r="E101" s="43">
        <f>Daftar!E101</f>
        <v>0</v>
      </c>
    </row>
    <row r="102" spans="2:5" x14ac:dyDescent="0.25">
      <c r="B102" s="43">
        <f>Daftar!B102</f>
        <v>0</v>
      </c>
      <c r="C102" s="43">
        <f>Daftar!C102</f>
        <v>0</v>
      </c>
      <c r="D102" s="43">
        <f>Daftar!D102</f>
        <v>0</v>
      </c>
      <c r="E102" s="43">
        <f>Daftar!E102</f>
        <v>0</v>
      </c>
    </row>
    <row r="103" spans="2:5" x14ac:dyDescent="0.25">
      <c r="B103" s="43">
        <f>Daftar!B103</f>
        <v>0</v>
      </c>
      <c r="C103" s="43">
        <f>Daftar!C103</f>
        <v>0</v>
      </c>
      <c r="D103" s="43">
        <f>Daftar!D103</f>
        <v>0</v>
      </c>
      <c r="E103" s="43">
        <f>Daftar!E103</f>
        <v>0</v>
      </c>
    </row>
    <row r="104" spans="2:5" x14ac:dyDescent="0.25">
      <c r="B104" s="43">
        <f>Daftar!B104</f>
        <v>0</v>
      </c>
      <c r="C104" s="43">
        <f>Daftar!C104</f>
        <v>0</v>
      </c>
      <c r="D104" s="43">
        <f>Daftar!D104</f>
        <v>0</v>
      </c>
      <c r="E104" s="43">
        <f>Daftar!E104</f>
        <v>0</v>
      </c>
    </row>
    <row r="105" spans="2:5" x14ac:dyDescent="0.25">
      <c r="B105" s="43">
        <f>Daftar!B105</f>
        <v>0</v>
      </c>
      <c r="C105" s="43">
        <f>Daftar!C105</f>
        <v>0</v>
      </c>
      <c r="D105" s="43">
        <f>Daftar!D105</f>
        <v>0</v>
      </c>
      <c r="E105" s="43">
        <f>Daftar!E105</f>
        <v>0</v>
      </c>
    </row>
    <row r="106" spans="2:5" x14ac:dyDescent="0.25">
      <c r="B106" s="43">
        <f>Daftar!B106</f>
        <v>0</v>
      </c>
      <c r="C106" s="43">
        <f>Daftar!C106</f>
        <v>0</v>
      </c>
      <c r="D106" s="43">
        <f>Daftar!D106</f>
        <v>0</v>
      </c>
      <c r="E106" s="43">
        <f>Daftar!E106</f>
        <v>0</v>
      </c>
    </row>
    <row r="107" spans="2:5" x14ac:dyDescent="0.25">
      <c r="B107" s="43">
        <f>Daftar!B107</f>
        <v>0</v>
      </c>
      <c r="C107" s="43">
        <f>Daftar!C107</f>
        <v>0</v>
      </c>
      <c r="D107" s="43">
        <f>Daftar!D107</f>
        <v>0</v>
      </c>
      <c r="E107" s="43">
        <f>Daftar!E107</f>
        <v>0</v>
      </c>
    </row>
    <row r="108" spans="2:5" x14ac:dyDescent="0.25">
      <c r="B108" s="43">
        <f>Daftar!B108</f>
        <v>0</v>
      </c>
      <c r="C108" s="43">
        <f>Daftar!C108</f>
        <v>0</v>
      </c>
      <c r="D108" s="43">
        <f>Daftar!D108</f>
        <v>0</v>
      </c>
      <c r="E108" s="43">
        <f>Daftar!E108</f>
        <v>0</v>
      </c>
    </row>
    <row r="109" spans="2:5" x14ac:dyDescent="0.25">
      <c r="B109" s="43">
        <f>Daftar!B109</f>
        <v>0</v>
      </c>
      <c r="C109" s="43">
        <f>Daftar!C109</f>
        <v>0</v>
      </c>
      <c r="D109" s="43">
        <f>Daftar!D109</f>
        <v>0</v>
      </c>
      <c r="E109" s="43">
        <f>Daftar!E109</f>
        <v>0</v>
      </c>
    </row>
    <row r="110" spans="2:5" x14ac:dyDescent="0.25">
      <c r="B110" s="43">
        <f>Daftar!B110</f>
        <v>0</v>
      </c>
      <c r="C110" s="43">
        <f>Daftar!C110</f>
        <v>0</v>
      </c>
      <c r="D110" s="43">
        <f>Daftar!D110</f>
        <v>0</v>
      </c>
      <c r="E110" s="43">
        <f>Daftar!E110</f>
        <v>0</v>
      </c>
    </row>
    <row r="111" spans="2:5" x14ac:dyDescent="0.25">
      <c r="B111" s="43">
        <f>Daftar!B111</f>
        <v>0</v>
      </c>
      <c r="C111" s="43">
        <f>Daftar!C111</f>
        <v>0</v>
      </c>
      <c r="D111" s="43">
        <f>Daftar!D111</f>
        <v>0</v>
      </c>
      <c r="E111" s="43">
        <f>Daftar!E111</f>
        <v>0</v>
      </c>
    </row>
    <row r="112" spans="2:5" x14ac:dyDescent="0.25">
      <c r="B112" s="43">
        <f>Daftar!B112</f>
        <v>0</v>
      </c>
      <c r="C112" s="43">
        <f>Daftar!C112</f>
        <v>0</v>
      </c>
      <c r="D112" s="43">
        <f>Daftar!D112</f>
        <v>0</v>
      </c>
      <c r="E112" s="43">
        <f>Daftar!E112</f>
        <v>0</v>
      </c>
    </row>
    <row r="113" spans="2:5" x14ac:dyDescent="0.25">
      <c r="B113" s="43">
        <f>Daftar!B113</f>
        <v>0</v>
      </c>
      <c r="C113" s="43">
        <f>Daftar!C113</f>
        <v>0</v>
      </c>
      <c r="D113" s="43">
        <f>Daftar!D113</f>
        <v>0</v>
      </c>
      <c r="E113" s="43">
        <f>Daftar!E113</f>
        <v>0</v>
      </c>
    </row>
    <row r="114" spans="2:5" x14ac:dyDescent="0.25">
      <c r="B114" s="43">
        <f>Daftar!B114</f>
        <v>0</v>
      </c>
      <c r="C114" s="43">
        <f>Daftar!C114</f>
        <v>0</v>
      </c>
      <c r="D114" s="43">
        <f>Daftar!D114</f>
        <v>0</v>
      </c>
      <c r="E114" s="43">
        <f>Daftar!E114</f>
        <v>0</v>
      </c>
    </row>
    <row r="115" spans="2:5" x14ac:dyDescent="0.25">
      <c r="B115" s="43">
        <f>Daftar!B115</f>
        <v>0</v>
      </c>
      <c r="C115" s="43">
        <f>Daftar!C115</f>
        <v>0</v>
      </c>
      <c r="D115" s="43">
        <f>Daftar!D115</f>
        <v>0</v>
      </c>
      <c r="E115" s="43">
        <f>Daftar!E115</f>
        <v>0</v>
      </c>
    </row>
    <row r="116" spans="2:5" x14ac:dyDescent="0.25">
      <c r="B116" s="43">
        <f>Daftar!B116</f>
        <v>0</v>
      </c>
      <c r="C116" s="43">
        <f>Daftar!C116</f>
        <v>0</v>
      </c>
      <c r="D116" s="43">
        <f>Daftar!D116</f>
        <v>0</v>
      </c>
      <c r="E116" s="43">
        <f>Daftar!E116</f>
        <v>0</v>
      </c>
    </row>
    <row r="117" spans="2:5" x14ac:dyDescent="0.25">
      <c r="B117" s="43">
        <f>Daftar!B117</f>
        <v>0</v>
      </c>
      <c r="C117" s="43">
        <f>Daftar!C117</f>
        <v>0</v>
      </c>
      <c r="D117" s="43">
        <f>Daftar!D117</f>
        <v>0</v>
      </c>
      <c r="E117" s="43">
        <f>Daftar!E117</f>
        <v>0</v>
      </c>
    </row>
    <row r="118" spans="2:5" x14ac:dyDescent="0.25">
      <c r="B118" s="43">
        <f>Daftar!B118</f>
        <v>0</v>
      </c>
      <c r="C118" s="43">
        <f>Daftar!C118</f>
        <v>0</v>
      </c>
      <c r="D118" s="43">
        <f>Daftar!D118</f>
        <v>0</v>
      </c>
      <c r="E118" s="43">
        <f>Daftar!E118</f>
        <v>0</v>
      </c>
    </row>
    <row r="119" spans="2:5" x14ac:dyDescent="0.25">
      <c r="B119" s="43">
        <f>Daftar!B119</f>
        <v>0</v>
      </c>
      <c r="C119" s="43">
        <f>Daftar!C119</f>
        <v>0</v>
      </c>
      <c r="D119" s="43">
        <f>Daftar!D119</f>
        <v>0</v>
      </c>
      <c r="E119" s="43">
        <f>Daftar!E119</f>
        <v>0</v>
      </c>
    </row>
    <row r="120" spans="2:5" x14ac:dyDescent="0.25">
      <c r="B120" s="43">
        <f>Daftar!B120</f>
        <v>0</v>
      </c>
      <c r="C120" s="43">
        <f>Daftar!C120</f>
        <v>0</v>
      </c>
      <c r="D120" s="43">
        <f>Daftar!D120</f>
        <v>0</v>
      </c>
      <c r="E120" s="43">
        <f>Daftar!E120</f>
        <v>0</v>
      </c>
    </row>
    <row r="121" spans="2:5" x14ac:dyDescent="0.25">
      <c r="B121" s="43">
        <f>Daftar!B121</f>
        <v>0</v>
      </c>
      <c r="C121" s="43">
        <f>Daftar!C121</f>
        <v>0</v>
      </c>
      <c r="D121" s="43">
        <f>Daftar!D121</f>
        <v>0</v>
      </c>
      <c r="E121" s="43">
        <f>Daftar!E121</f>
        <v>0</v>
      </c>
    </row>
    <row r="122" spans="2:5" x14ac:dyDescent="0.25">
      <c r="B122" s="43">
        <f>Daftar!B122</f>
        <v>0</v>
      </c>
      <c r="C122" s="43">
        <f>Daftar!C122</f>
        <v>0</v>
      </c>
      <c r="D122" s="43">
        <f>Daftar!D122</f>
        <v>0</v>
      </c>
      <c r="E122" s="43">
        <f>Daftar!E122</f>
        <v>0</v>
      </c>
    </row>
    <row r="123" spans="2:5" x14ac:dyDescent="0.25">
      <c r="B123" s="43">
        <f>Daftar!B123</f>
        <v>0</v>
      </c>
      <c r="C123" s="43">
        <f>Daftar!C123</f>
        <v>0</v>
      </c>
      <c r="D123" s="43">
        <f>Daftar!D123</f>
        <v>0</v>
      </c>
      <c r="E123" s="43">
        <f>Daftar!E123</f>
        <v>0</v>
      </c>
    </row>
    <row r="124" spans="2:5" x14ac:dyDescent="0.25">
      <c r="B124" s="43">
        <f>Daftar!B124</f>
        <v>0</v>
      </c>
      <c r="C124" s="43">
        <f>Daftar!C124</f>
        <v>0</v>
      </c>
      <c r="D124" s="43">
        <f>Daftar!D124</f>
        <v>0</v>
      </c>
      <c r="E124" s="43">
        <f>Daftar!E124</f>
        <v>0</v>
      </c>
    </row>
    <row r="125" spans="2:5" x14ac:dyDescent="0.25">
      <c r="B125" s="43">
        <f>Daftar!B125</f>
        <v>0</v>
      </c>
      <c r="C125" s="43">
        <f>Daftar!C125</f>
        <v>0</v>
      </c>
      <c r="D125" s="43">
        <f>Daftar!D125</f>
        <v>0</v>
      </c>
      <c r="E125" s="43">
        <f>Daftar!E125</f>
        <v>0</v>
      </c>
    </row>
    <row r="126" spans="2:5" x14ac:dyDescent="0.25">
      <c r="B126" s="43">
        <f>Daftar!B126</f>
        <v>0</v>
      </c>
      <c r="C126" s="43">
        <f>Daftar!C126</f>
        <v>0</v>
      </c>
      <c r="D126" s="43">
        <f>Daftar!D126</f>
        <v>0</v>
      </c>
      <c r="E126" s="43">
        <f>Daftar!E126</f>
        <v>0</v>
      </c>
    </row>
    <row r="127" spans="2:5" x14ac:dyDescent="0.25">
      <c r="B127" s="43">
        <f>Daftar!B127</f>
        <v>0</v>
      </c>
      <c r="C127" s="43">
        <f>Daftar!C127</f>
        <v>0</v>
      </c>
      <c r="D127" s="43">
        <f>Daftar!D127</f>
        <v>0</v>
      </c>
      <c r="E127" s="43">
        <f>Daftar!E127</f>
        <v>0</v>
      </c>
    </row>
    <row r="128" spans="2:5" x14ac:dyDescent="0.25">
      <c r="B128" s="43">
        <f>Daftar!B128</f>
        <v>0</v>
      </c>
      <c r="C128" s="43">
        <f>Daftar!C128</f>
        <v>0</v>
      </c>
      <c r="D128" s="43">
        <f>Daftar!D128</f>
        <v>0</v>
      </c>
      <c r="E128" s="43">
        <f>Daftar!E128</f>
        <v>0</v>
      </c>
    </row>
    <row r="129" spans="2:5" x14ac:dyDescent="0.25">
      <c r="B129" s="43">
        <f>Daftar!B129</f>
        <v>0</v>
      </c>
      <c r="C129" s="43">
        <f>Daftar!C129</f>
        <v>0</v>
      </c>
      <c r="D129" s="43">
        <f>Daftar!D129</f>
        <v>0</v>
      </c>
      <c r="E129" s="43">
        <f>Daftar!E129</f>
        <v>0</v>
      </c>
    </row>
    <row r="130" spans="2:5" x14ac:dyDescent="0.25">
      <c r="B130" s="43">
        <f>Daftar!B130</f>
        <v>0</v>
      </c>
      <c r="C130" s="43">
        <f>Daftar!C130</f>
        <v>0</v>
      </c>
      <c r="D130" s="43">
        <f>Daftar!D130</f>
        <v>0</v>
      </c>
      <c r="E130" s="43">
        <f>Daftar!E130</f>
        <v>0</v>
      </c>
    </row>
    <row r="131" spans="2:5" x14ac:dyDescent="0.25">
      <c r="B131" s="43">
        <f>Daftar!B131</f>
        <v>0</v>
      </c>
      <c r="C131" s="43">
        <f>Daftar!C131</f>
        <v>0</v>
      </c>
      <c r="D131" s="43">
        <f>Daftar!D131</f>
        <v>0</v>
      </c>
      <c r="E131" s="43">
        <f>Daftar!E131</f>
        <v>0</v>
      </c>
    </row>
    <row r="132" spans="2:5" x14ac:dyDescent="0.25">
      <c r="B132" s="43">
        <f>Daftar!B132</f>
        <v>0</v>
      </c>
      <c r="C132" s="43">
        <f>Daftar!C132</f>
        <v>0</v>
      </c>
      <c r="D132" s="43">
        <f>Daftar!D132</f>
        <v>0</v>
      </c>
      <c r="E132" s="43">
        <f>Daftar!E132</f>
        <v>0</v>
      </c>
    </row>
    <row r="133" spans="2:5" x14ac:dyDescent="0.25">
      <c r="B133" s="43">
        <f>Daftar!B133</f>
        <v>0</v>
      </c>
      <c r="C133" s="43">
        <f>Daftar!C133</f>
        <v>0</v>
      </c>
      <c r="D133" s="43">
        <f>Daftar!D133</f>
        <v>0</v>
      </c>
      <c r="E133" s="43">
        <f>Daftar!E133</f>
        <v>0</v>
      </c>
    </row>
    <row r="134" spans="2:5" x14ac:dyDescent="0.25">
      <c r="B134" s="43">
        <f>Daftar!B134</f>
        <v>0</v>
      </c>
      <c r="C134" s="43">
        <f>Daftar!C134</f>
        <v>0</v>
      </c>
      <c r="D134" s="43">
        <f>Daftar!D134</f>
        <v>0</v>
      </c>
      <c r="E134" s="43">
        <f>Daftar!E134</f>
        <v>0</v>
      </c>
    </row>
    <row r="135" spans="2:5" x14ac:dyDescent="0.25">
      <c r="B135" s="43">
        <f>Daftar!B135</f>
        <v>0</v>
      </c>
      <c r="C135" s="43">
        <f>Daftar!C135</f>
        <v>0</v>
      </c>
      <c r="D135" s="43">
        <f>Daftar!D135</f>
        <v>0</v>
      </c>
      <c r="E135" s="43">
        <f>Daftar!E135</f>
        <v>0</v>
      </c>
    </row>
    <row r="136" spans="2:5" x14ac:dyDescent="0.25">
      <c r="B136" s="43">
        <f>Daftar!B136</f>
        <v>0</v>
      </c>
      <c r="C136" s="43">
        <f>Daftar!C136</f>
        <v>0</v>
      </c>
      <c r="D136" s="43">
        <f>Daftar!D136</f>
        <v>0</v>
      </c>
      <c r="E136" s="43">
        <f>Daftar!E136</f>
        <v>0</v>
      </c>
    </row>
    <row r="137" spans="2:5" x14ac:dyDescent="0.25">
      <c r="B137" s="43">
        <f>Daftar!B137</f>
        <v>0</v>
      </c>
      <c r="C137" s="43">
        <f>Daftar!C137</f>
        <v>0</v>
      </c>
      <c r="D137" s="43">
        <f>Daftar!D137</f>
        <v>0</v>
      </c>
      <c r="E137" s="43">
        <f>Daftar!E137</f>
        <v>0</v>
      </c>
    </row>
    <row r="138" spans="2:5" x14ac:dyDescent="0.25">
      <c r="B138" s="43">
        <f>Daftar!B138</f>
        <v>0</v>
      </c>
      <c r="C138" s="43">
        <f>Daftar!C138</f>
        <v>0</v>
      </c>
      <c r="D138" s="43">
        <f>Daftar!D138</f>
        <v>0</v>
      </c>
      <c r="E138" s="43">
        <f>Daftar!E138</f>
        <v>0</v>
      </c>
    </row>
    <row r="139" spans="2:5" x14ac:dyDescent="0.25">
      <c r="B139" s="43">
        <f>Daftar!B139</f>
        <v>0</v>
      </c>
      <c r="C139" s="43">
        <f>Daftar!C139</f>
        <v>0</v>
      </c>
      <c r="D139" s="43">
        <f>Daftar!D139</f>
        <v>0</v>
      </c>
      <c r="E139" s="43">
        <f>Daftar!E139</f>
        <v>0</v>
      </c>
    </row>
    <row r="140" spans="2:5" x14ac:dyDescent="0.25">
      <c r="B140" s="43">
        <f>Daftar!B140</f>
        <v>0</v>
      </c>
      <c r="C140" s="43">
        <f>Daftar!C140</f>
        <v>0</v>
      </c>
      <c r="D140" s="43">
        <f>Daftar!D140</f>
        <v>0</v>
      </c>
      <c r="E140" s="43">
        <f>Daftar!E140</f>
        <v>0</v>
      </c>
    </row>
    <row r="141" spans="2:5" x14ac:dyDescent="0.25">
      <c r="B141" s="43">
        <f>Daftar!B141</f>
        <v>0</v>
      </c>
      <c r="C141" s="43">
        <f>Daftar!C141</f>
        <v>0</v>
      </c>
      <c r="D141" s="43">
        <f>Daftar!D141</f>
        <v>0</v>
      </c>
      <c r="E141" s="43">
        <f>Daftar!E141</f>
        <v>0</v>
      </c>
    </row>
    <row r="142" spans="2:5" x14ac:dyDescent="0.25">
      <c r="B142" s="43">
        <f>Daftar!B142</f>
        <v>0</v>
      </c>
      <c r="C142" s="43">
        <f>Daftar!C142</f>
        <v>0</v>
      </c>
      <c r="D142" s="43">
        <f>Daftar!D142</f>
        <v>0</v>
      </c>
      <c r="E142" s="43">
        <f>Daftar!E142</f>
        <v>0</v>
      </c>
    </row>
    <row r="143" spans="2:5" x14ac:dyDescent="0.25">
      <c r="B143" s="43">
        <f>Daftar!B143</f>
        <v>0</v>
      </c>
      <c r="C143" s="43">
        <f>Daftar!C143</f>
        <v>0</v>
      </c>
      <c r="D143" s="43">
        <f>Daftar!D143</f>
        <v>0</v>
      </c>
      <c r="E143" s="43">
        <f>Daftar!E143</f>
        <v>0</v>
      </c>
    </row>
    <row r="144" spans="2:5" x14ac:dyDescent="0.25">
      <c r="B144" s="43">
        <f>Daftar!B144</f>
        <v>0</v>
      </c>
      <c r="C144" s="43">
        <f>Daftar!C144</f>
        <v>0</v>
      </c>
      <c r="D144" s="43">
        <f>Daftar!D144</f>
        <v>0</v>
      </c>
      <c r="E144" s="43">
        <f>Daftar!E144</f>
        <v>0</v>
      </c>
    </row>
    <row r="145" spans="2:5" x14ac:dyDescent="0.25">
      <c r="B145" s="43">
        <f>Daftar!B145</f>
        <v>0</v>
      </c>
      <c r="C145" s="43">
        <f>Daftar!C145</f>
        <v>0</v>
      </c>
      <c r="D145" s="43">
        <f>Daftar!D145</f>
        <v>0</v>
      </c>
      <c r="E145" s="43">
        <f>Daftar!E145</f>
        <v>0</v>
      </c>
    </row>
    <row r="146" spans="2:5" x14ac:dyDescent="0.25">
      <c r="B146" s="43">
        <f>Daftar!B146</f>
        <v>0</v>
      </c>
      <c r="C146" s="43">
        <f>Daftar!C146</f>
        <v>0</v>
      </c>
      <c r="D146" s="43">
        <f>Daftar!D146</f>
        <v>0</v>
      </c>
      <c r="E146" s="43">
        <f>Daftar!E146</f>
        <v>0</v>
      </c>
    </row>
    <row r="147" spans="2:5" x14ac:dyDescent="0.25">
      <c r="B147" s="43">
        <f>Daftar!B147</f>
        <v>0</v>
      </c>
      <c r="C147" s="43">
        <f>Daftar!C147</f>
        <v>0</v>
      </c>
      <c r="D147" s="43">
        <f>Daftar!D147</f>
        <v>0</v>
      </c>
      <c r="E147" s="43">
        <f>Daftar!E147</f>
        <v>0</v>
      </c>
    </row>
    <row r="148" spans="2:5" x14ac:dyDescent="0.25">
      <c r="B148" s="43">
        <f>Daftar!B148</f>
        <v>0</v>
      </c>
      <c r="C148" s="43">
        <f>Daftar!C148</f>
        <v>0</v>
      </c>
      <c r="D148" s="43">
        <f>Daftar!D148</f>
        <v>0</v>
      </c>
      <c r="E148" s="43">
        <f>Daftar!E148</f>
        <v>0</v>
      </c>
    </row>
    <row r="149" spans="2:5" x14ac:dyDescent="0.25">
      <c r="B149" s="43">
        <f>Daftar!B149</f>
        <v>0</v>
      </c>
      <c r="C149" s="43">
        <f>Daftar!C149</f>
        <v>0</v>
      </c>
      <c r="D149" s="43">
        <f>Daftar!D149</f>
        <v>0</v>
      </c>
      <c r="E149" s="43">
        <f>Daftar!E149</f>
        <v>0</v>
      </c>
    </row>
    <row r="150" spans="2:5" x14ac:dyDescent="0.25">
      <c r="B150" s="43">
        <f>Daftar!B150</f>
        <v>0</v>
      </c>
      <c r="C150" s="43">
        <f>Daftar!C150</f>
        <v>0</v>
      </c>
      <c r="D150" s="43">
        <f>Daftar!D150</f>
        <v>0</v>
      </c>
      <c r="E150" s="43">
        <f>Daftar!E150</f>
        <v>0</v>
      </c>
    </row>
    <row r="151" spans="2:5" x14ac:dyDescent="0.25">
      <c r="B151" s="43">
        <f>Daftar!B151</f>
        <v>0</v>
      </c>
      <c r="C151" s="43">
        <f>Daftar!C151</f>
        <v>0</v>
      </c>
      <c r="D151" s="43">
        <f>Daftar!D151</f>
        <v>0</v>
      </c>
      <c r="E151" s="43">
        <f>Daftar!E151</f>
        <v>0</v>
      </c>
    </row>
    <row r="152" spans="2:5" x14ac:dyDescent="0.25">
      <c r="B152" s="43">
        <f>Daftar!B152</f>
        <v>0</v>
      </c>
      <c r="C152" s="43">
        <f>Daftar!C152</f>
        <v>0</v>
      </c>
      <c r="D152" s="43">
        <f>Daftar!D152</f>
        <v>0</v>
      </c>
      <c r="E152" s="43">
        <f>Daftar!E152</f>
        <v>0</v>
      </c>
    </row>
    <row r="153" spans="2:5" x14ac:dyDescent="0.25">
      <c r="B153" s="43">
        <f>Daftar!B153</f>
        <v>0</v>
      </c>
      <c r="C153" s="43">
        <f>Daftar!C153</f>
        <v>0</v>
      </c>
      <c r="D153" s="43">
        <f>Daftar!D153</f>
        <v>0</v>
      </c>
      <c r="E153" s="43">
        <f>Daftar!E153</f>
        <v>0</v>
      </c>
    </row>
    <row r="154" spans="2:5" x14ac:dyDescent="0.25">
      <c r="B154" s="43">
        <f>Daftar!B154</f>
        <v>0</v>
      </c>
      <c r="C154" s="43">
        <f>Daftar!C154</f>
        <v>0</v>
      </c>
      <c r="D154" s="43">
        <f>Daftar!D154</f>
        <v>0</v>
      </c>
      <c r="E154" s="43">
        <f>Daftar!E154</f>
        <v>0</v>
      </c>
    </row>
    <row r="155" spans="2:5" x14ac:dyDescent="0.25">
      <c r="B155" s="43">
        <f>Daftar!B155</f>
        <v>0</v>
      </c>
      <c r="C155" s="43">
        <f>Daftar!C155</f>
        <v>0</v>
      </c>
      <c r="D155" s="43">
        <f>Daftar!D155</f>
        <v>0</v>
      </c>
      <c r="E155" s="43">
        <f>Daftar!E155</f>
        <v>0</v>
      </c>
    </row>
    <row r="156" spans="2:5" x14ac:dyDescent="0.25">
      <c r="B156" s="43">
        <f>Daftar!B156</f>
        <v>0</v>
      </c>
      <c r="C156" s="43">
        <f>Daftar!C156</f>
        <v>0</v>
      </c>
      <c r="D156" s="43">
        <f>Daftar!D156</f>
        <v>0</v>
      </c>
      <c r="E156" s="43">
        <f>Daftar!E156</f>
        <v>0</v>
      </c>
    </row>
    <row r="157" spans="2:5" x14ac:dyDescent="0.25">
      <c r="B157" s="43">
        <f>Daftar!B157</f>
        <v>0</v>
      </c>
      <c r="C157" s="43">
        <f>Daftar!C157</f>
        <v>0</v>
      </c>
      <c r="D157" s="43">
        <f>Daftar!D157</f>
        <v>0</v>
      </c>
      <c r="E157" s="43">
        <f>Daftar!E157</f>
        <v>0</v>
      </c>
    </row>
    <row r="158" spans="2:5" x14ac:dyDescent="0.25">
      <c r="B158" s="43">
        <f>Daftar!B158</f>
        <v>0</v>
      </c>
      <c r="C158" s="43">
        <f>Daftar!C158</f>
        <v>0</v>
      </c>
      <c r="D158" s="43">
        <f>Daftar!D158</f>
        <v>0</v>
      </c>
      <c r="E158" s="43">
        <f>Daftar!E158</f>
        <v>0</v>
      </c>
    </row>
    <row r="159" spans="2:5" x14ac:dyDescent="0.25">
      <c r="B159" s="43">
        <f>Daftar!B159</f>
        <v>0</v>
      </c>
      <c r="C159" s="43">
        <f>Daftar!C159</f>
        <v>0</v>
      </c>
      <c r="D159" s="43">
        <f>Daftar!D159</f>
        <v>0</v>
      </c>
      <c r="E159" s="43">
        <f>Daftar!E159</f>
        <v>0</v>
      </c>
    </row>
    <row r="160" spans="2:5" x14ac:dyDescent="0.25">
      <c r="B160" s="43">
        <f>Daftar!B160</f>
        <v>0</v>
      </c>
      <c r="C160" s="43">
        <f>Daftar!C160</f>
        <v>0</v>
      </c>
      <c r="D160" s="43">
        <f>Daftar!D160</f>
        <v>0</v>
      </c>
      <c r="E160" s="43">
        <f>Daftar!E160</f>
        <v>0</v>
      </c>
    </row>
    <row r="161" spans="2:5" x14ac:dyDescent="0.25">
      <c r="B161" s="43">
        <f>Daftar!B161</f>
        <v>0</v>
      </c>
      <c r="C161" s="43">
        <f>Daftar!C161</f>
        <v>0</v>
      </c>
      <c r="D161" s="43">
        <f>Daftar!D161</f>
        <v>0</v>
      </c>
      <c r="E161" s="43">
        <f>Daftar!E161</f>
        <v>0</v>
      </c>
    </row>
    <row r="162" spans="2:5" x14ac:dyDescent="0.25">
      <c r="B162" s="43">
        <f>Daftar!B162</f>
        <v>0</v>
      </c>
      <c r="C162" s="43">
        <f>Daftar!C162</f>
        <v>0</v>
      </c>
      <c r="D162" s="43">
        <f>Daftar!D162</f>
        <v>0</v>
      </c>
      <c r="E162" s="43">
        <f>Daftar!E162</f>
        <v>0</v>
      </c>
    </row>
    <row r="163" spans="2:5" x14ac:dyDescent="0.25">
      <c r="B163" s="43">
        <f>Daftar!B163</f>
        <v>0</v>
      </c>
      <c r="C163" s="43">
        <f>Daftar!C163</f>
        <v>0</v>
      </c>
      <c r="D163" s="43">
        <f>Daftar!D163</f>
        <v>0</v>
      </c>
      <c r="E163" s="43">
        <f>Daftar!E163</f>
        <v>0</v>
      </c>
    </row>
    <row r="164" spans="2:5" x14ac:dyDescent="0.25">
      <c r="B164" s="43">
        <f>Daftar!B164</f>
        <v>0</v>
      </c>
      <c r="C164" s="43">
        <f>Daftar!C164</f>
        <v>0</v>
      </c>
      <c r="D164" s="43">
        <f>Daftar!D164</f>
        <v>0</v>
      </c>
      <c r="E164" s="43">
        <f>Daftar!E164</f>
        <v>0</v>
      </c>
    </row>
    <row r="165" spans="2:5" x14ac:dyDescent="0.25">
      <c r="B165" s="43">
        <f>Daftar!B165</f>
        <v>0</v>
      </c>
      <c r="C165" s="43">
        <f>Daftar!C165</f>
        <v>0</v>
      </c>
      <c r="D165" s="43">
        <f>Daftar!D165</f>
        <v>0</v>
      </c>
      <c r="E165" s="43">
        <f>Daftar!E165</f>
        <v>0</v>
      </c>
    </row>
    <row r="166" spans="2:5" x14ac:dyDescent="0.25">
      <c r="B166" s="43">
        <f>Daftar!B166</f>
        <v>0</v>
      </c>
      <c r="C166" s="43">
        <f>Daftar!C166</f>
        <v>0</v>
      </c>
      <c r="D166" s="43">
        <f>Daftar!D166</f>
        <v>0</v>
      </c>
      <c r="E166" s="43">
        <f>Daftar!E166</f>
        <v>0</v>
      </c>
    </row>
    <row r="167" spans="2:5" x14ac:dyDescent="0.25">
      <c r="B167" s="43">
        <f>Daftar!B167</f>
        <v>0</v>
      </c>
      <c r="C167" s="43">
        <f>Daftar!C167</f>
        <v>0</v>
      </c>
      <c r="D167" s="43">
        <f>Daftar!D167</f>
        <v>0</v>
      </c>
      <c r="E167" s="43">
        <f>Daftar!E167</f>
        <v>0</v>
      </c>
    </row>
    <row r="168" spans="2:5" x14ac:dyDescent="0.25">
      <c r="B168" s="43">
        <f>Daftar!B168</f>
        <v>0</v>
      </c>
      <c r="C168" s="43">
        <f>Daftar!C168</f>
        <v>0</v>
      </c>
      <c r="D168" s="43">
        <f>Daftar!D168</f>
        <v>0</v>
      </c>
      <c r="E168" s="43">
        <f>Daftar!E168</f>
        <v>0</v>
      </c>
    </row>
    <row r="169" spans="2:5" x14ac:dyDescent="0.25">
      <c r="B169" s="43">
        <f>Daftar!B169</f>
        <v>0</v>
      </c>
      <c r="C169" s="43">
        <f>Daftar!C169</f>
        <v>0</v>
      </c>
      <c r="D169" s="43">
        <f>Daftar!D169</f>
        <v>0</v>
      </c>
      <c r="E169" s="43">
        <f>Daftar!E169</f>
        <v>0</v>
      </c>
    </row>
    <row r="170" spans="2:5" x14ac:dyDescent="0.25">
      <c r="B170" s="43">
        <f>Daftar!B170</f>
        <v>0</v>
      </c>
      <c r="C170" s="43">
        <f>Daftar!C170</f>
        <v>0</v>
      </c>
      <c r="D170" s="43">
        <f>Daftar!D170</f>
        <v>0</v>
      </c>
      <c r="E170" s="43">
        <f>Daftar!E170</f>
        <v>0</v>
      </c>
    </row>
    <row r="171" spans="2:5" x14ac:dyDescent="0.25">
      <c r="B171" s="43">
        <f>Daftar!B171</f>
        <v>0</v>
      </c>
      <c r="C171" s="43">
        <f>Daftar!C171</f>
        <v>0</v>
      </c>
      <c r="D171" s="43">
        <f>Daftar!D171</f>
        <v>0</v>
      </c>
      <c r="E171" s="43">
        <f>Daftar!E171</f>
        <v>0</v>
      </c>
    </row>
    <row r="172" spans="2:5" x14ac:dyDescent="0.25">
      <c r="B172" s="43">
        <f>Daftar!B172</f>
        <v>0</v>
      </c>
      <c r="C172" s="43">
        <f>Daftar!C172</f>
        <v>0</v>
      </c>
      <c r="D172" s="43">
        <f>Daftar!D172</f>
        <v>0</v>
      </c>
      <c r="E172" s="43">
        <f>Daftar!E172</f>
        <v>0</v>
      </c>
    </row>
    <row r="173" spans="2:5" x14ac:dyDescent="0.25">
      <c r="B173" s="43">
        <f>Daftar!B173</f>
        <v>0</v>
      </c>
      <c r="C173" s="43">
        <f>Daftar!C173</f>
        <v>0</v>
      </c>
      <c r="D173" s="43">
        <f>Daftar!D173</f>
        <v>0</v>
      </c>
      <c r="E173" s="43">
        <f>Daftar!E173</f>
        <v>0</v>
      </c>
    </row>
    <row r="174" spans="2:5" x14ac:dyDescent="0.25">
      <c r="B174" s="43">
        <f>Daftar!B174</f>
        <v>0</v>
      </c>
      <c r="C174" s="43">
        <f>Daftar!C174</f>
        <v>0</v>
      </c>
      <c r="D174" s="43">
        <f>Daftar!D174</f>
        <v>0</v>
      </c>
      <c r="E174" s="43">
        <f>Daftar!E174</f>
        <v>0</v>
      </c>
    </row>
    <row r="175" spans="2:5" x14ac:dyDescent="0.25">
      <c r="B175" s="43">
        <f>Daftar!B175</f>
        <v>0</v>
      </c>
      <c r="C175" s="43">
        <f>Daftar!C175</f>
        <v>0</v>
      </c>
      <c r="D175" s="43">
        <f>Daftar!D175</f>
        <v>0</v>
      </c>
      <c r="E175" s="43">
        <f>Daftar!E175</f>
        <v>0</v>
      </c>
    </row>
    <row r="176" spans="2:5" x14ac:dyDescent="0.25">
      <c r="B176" s="43">
        <f>Daftar!B176</f>
        <v>0</v>
      </c>
      <c r="C176" s="43">
        <f>Daftar!C176</f>
        <v>0</v>
      </c>
      <c r="D176" s="43">
        <f>Daftar!D176</f>
        <v>0</v>
      </c>
      <c r="E176" s="43">
        <f>Daftar!E176</f>
        <v>0</v>
      </c>
    </row>
    <row r="177" spans="2:5" x14ac:dyDescent="0.25">
      <c r="B177" s="43">
        <f>Daftar!B177</f>
        <v>0</v>
      </c>
      <c r="C177" s="43">
        <f>Daftar!C177</f>
        <v>0</v>
      </c>
      <c r="D177" s="43">
        <f>Daftar!D177</f>
        <v>0</v>
      </c>
      <c r="E177" s="43">
        <f>Daftar!E177</f>
        <v>0</v>
      </c>
    </row>
    <row r="178" spans="2:5" x14ac:dyDescent="0.25">
      <c r="B178" s="43">
        <f>Daftar!B178</f>
        <v>0</v>
      </c>
      <c r="C178" s="43">
        <f>Daftar!C178</f>
        <v>0</v>
      </c>
      <c r="D178" s="43">
        <f>Daftar!D178</f>
        <v>0</v>
      </c>
      <c r="E178" s="43">
        <f>Daftar!E178</f>
        <v>0</v>
      </c>
    </row>
    <row r="179" spans="2:5" x14ac:dyDescent="0.25">
      <c r="B179" s="43">
        <f>Daftar!B179</f>
        <v>0</v>
      </c>
      <c r="C179" s="43">
        <f>Daftar!C179</f>
        <v>0</v>
      </c>
      <c r="D179" s="43">
        <f>Daftar!D179</f>
        <v>0</v>
      </c>
      <c r="E179" s="43">
        <f>Daftar!E179</f>
        <v>0</v>
      </c>
    </row>
    <row r="180" spans="2:5" x14ac:dyDescent="0.25">
      <c r="B180" s="43">
        <f>Daftar!B180</f>
        <v>0</v>
      </c>
      <c r="C180" s="43">
        <f>Daftar!C180</f>
        <v>0</v>
      </c>
      <c r="D180" s="43">
        <f>Daftar!D180</f>
        <v>0</v>
      </c>
      <c r="E180" s="43">
        <f>Daftar!E180</f>
        <v>0</v>
      </c>
    </row>
    <row r="181" spans="2:5" x14ac:dyDescent="0.25">
      <c r="B181" s="43">
        <f>Daftar!B181</f>
        <v>0</v>
      </c>
      <c r="C181" s="43">
        <f>Daftar!C181</f>
        <v>0</v>
      </c>
      <c r="D181" s="43">
        <f>Daftar!D181</f>
        <v>0</v>
      </c>
      <c r="E181" s="43">
        <f>Daftar!E181</f>
        <v>0</v>
      </c>
    </row>
    <row r="182" spans="2:5" x14ac:dyDescent="0.25">
      <c r="B182" s="43">
        <f>Daftar!B182</f>
        <v>0</v>
      </c>
      <c r="C182" s="43">
        <f>Daftar!C182</f>
        <v>0</v>
      </c>
      <c r="D182" s="43">
        <f>Daftar!D182</f>
        <v>0</v>
      </c>
      <c r="E182" s="43">
        <f>Daftar!E182</f>
        <v>0</v>
      </c>
    </row>
    <row r="183" spans="2:5" x14ac:dyDescent="0.25">
      <c r="B183" s="43">
        <f>Daftar!B183</f>
        <v>0</v>
      </c>
      <c r="C183" s="43">
        <f>Daftar!C183</f>
        <v>0</v>
      </c>
      <c r="D183" s="43">
        <f>Daftar!D183</f>
        <v>0</v>
      </c>
      <c r="E183" s="43">
        <f>Daftar!E183</f>
        <v>0</v>
      </c>
    </row>
    <row r="184" spans="2:5" x14ac:dyDescent="0.25">
      <c r="B184" s="43">
        <f>Daftar!B184</f>
        <v>0</v>
      </c>
      <c r="C184" s="43">
        <f>Daftar!C184</f>
        <v>0</v>
      </c>
      <c r="D184" s="43">
        <f>Daftar!D184</f>
        <v>0</v>
      </c>
      <c r="E184" s="43">
        <f>Daftar!E184</f>
        <v>0</v>
      </c>
    </row>
    <row r="185" spans="2:5" x14ac:dyDescent="0.25">
      <c r="B185" s="43">
        <f>Daftar!B185</f>
        <v>0</v>
      </c>
      <c r="C185" s="43">
        <f>Daftar!C185</f>
        <v>0</v>
      </c>
      <c r="D185" s="43">
        <f>Daftar!D185</f>
        <v>0</v>
      </c>
      <c r="E185" s="43">
        <f>Daftar!E185</f>
        <v>0</v>
      </c>
    </row>
    <row r="186" spans="2:5" x14ac:dyDescent="0.25">
      <c r="B186" s="43">
        <f>Daftar!B186</f>
        <v>0</v>
      </c>
      <c r="C186" s="43">
        <f>Daftar!C186</f>
        <v>0</v>
      </c>
      <c r="D186" s="43">
        <f>Daftar!D186</f>
        <v>0</v>
      </c>
      <c r="E186" s="43">
        <f>Daftar!E186</f>
        <v>0</v>
      </c>
    </row>
    <row r="187" spans="2:5" x14ac:dyDescent="0.25">
      <c r="B187" s="43">
        <f>Daftar!B187</f>
        <v>0</v>
      </c>
      <c r="C187" s="43">
        <f>Daftar!C187</f>
        <v>0</v>
      </c>
      <c r="D187" s="43">
        <f>Daftar!D187</f>
        <v>0</v>
      </c>
      <c r="E187" s="43">
        <f>Daftar!E187</f>
        <v>0</v>
      </c>
    </row>
    <row r="188" spans="2:5" x14ac:dyDescent="0.25">
      <c r="B188" s="43">
        <f>Daftar!B188</f>
        <v>0</v>
      </c>
      <c r="C188" s="43">
        <f>Daftar!C188</f>
        <v>0</v>
      </c>
      <c r="D188" s="43">
        <f>Daftar!D188</f>
        <v>0</v>
      </c>
      <c r="E188" s="43">
        <f>Daftar!E188</f>
        <v>0</v>
      </c>
    </row>
    <row r="189" spans="2:5" x14ac:dyDescent="0.25">
      <c r="B189" s="43">
        <f>Daftar!B189</f>
        <v>0</v>
      </c>
      <c r="C189" s="43">
        <f>Daftar!C189</f>
        <v>0</v>
      </c>
      <c r="D189" s="43">
        <f>Daftar!D189</f>
        <v>0</v>
      </c>
      <c r="E189" s="43">
        <f>Daftar!E189</f>
        <v>0</v>
      </c>
    </row>
    <row r="190" spans="2:5" x14ac:dyDescent="0.25">
      <c r="B190" s="43">
        <f>Daftar!B190</f>
        <v>0</v>
      </c>
      <c r="C190" s="43">
        <f>Daftar!C190</f>
        <v>0</v>
      </c>
      <c r="D190" s="43">
        <f>Daftar!D190</f>
        <v>0</v>
      </c>
      <c r="E190" s="43">
        <f>Daftar!E190</f>
        <v>0</v>
      </c>
    </row>
    <row r="191" spans="2:5" x14ac:dyDescent="0.25">
      <c r="B191" s="43">
        <f>Daftar!B191</f>
        <v>0</v>
      </c>
      <c r="C191" s="43">
        <f>Daftar!C191</f>
        <v>0</v>
      </c>
      <c r="D191" s="43">
        <f>Daftar!D191</f>
        <v>0</v>
      </c>
      <c r="E191" s="43">
        <f>Daftar!E191</f>
        <v>0</v>
      </c>
    </row>
    <row r="192" spans="2:5" x14ac:dyDescent="0.25">
      <c r="B192" s="43">
        <f>Daftar!B192</f>
        <v>0</v>
      </c>
      <c r="C192" s="43">
        <f>Daftar!C192</f>
        <v>0</v>
      </c>
      <c r="D192" s="43">
        <f>Daftar!D192</f>
        <v>0</v>
      </c>
      <c r="E192" s="43">
        <f>Daftar!E192</f>
        <v>0</v>
      </c>
    </row>
    <row r="193" spans="2:5" x14ac:dyDescent="0.25">
      <c r="B193" s="43">
        <f>Daftar!B193</f>
        <v>0</v>
      </c>
      <c r="C193" s="43">
        <f>Daftar!C193</f>
        <v>0</v>
      </c>
      <c r="D193" s="43">
        <f>Daftar!D193</f>
        <v>0</v>
      </c>
      <c r="E193" s="43">
        <f>Daftar!E193</f>
        <v>0</v>
      </c>
    </row>
    <row r="194" spans="2:5" x14ac:dyDescent="0.25">
      <c r="B194" s="43">
        <f>Daftar!B194</f>
        <v>0</v>
      </c>
      <c r="C194" s="43">
        <f>Daftar!C194</f>
        <v>0</v>
      </c>
      <c r="D194" s="43">
        <f>Daftar!D194</f>
        <v>0</v>
      </c>
      <c r="E194" s="43">
        <f>Daftar!E194</f>
        <v>0</v>
      </c>
    </row>
    <row r="195" spans="2:5" x14ac:dyDescent="0.25">
      <c r="B195" s="43">
        <f>Daftar!B195</f>
        <v>0</v>
      </c>
      <c r="C195" s="43">
        <f>Daftar!C195</f>
        <v>0</v>
      </c>
      <c r="D195" s="43">
        <f>Daftar!D195</f>
        <v>0</v>
      </c>
      <c r="E195" s="43">
        <f>Daftar!E195</f>
        <v>0</v>
      </c>
    </row>
    <row r="196" spans="2:5" x14ac:dyDescent="0.25">
      <c r="B196" s="43">
        <f>Daftar!B196</f>
        <v>0</v>
      </c>
      <c r="C196" s="43">
        <f>Daftar!C196</f>
        <v>0</v>
      </c>
      <c r="D196" s="43">
        <f>Daftar!D196</f>
        <v>0</v>
      </c>
      <c r="E196" s="43">
        <f>Daftar!E196</f>
        <v>0</v>
      </c>
    </row>
    <row r="197" spans="2:5" x14ac:dyDescent="0.25">
      <c r="B197" s="43">
        <f>Daftar!B197</f>
        <v>0</v>
      </c>
      <c r="C197" s="43">
        <f>Daftar!C197</f>
        <v>0</v>
      </c>
      <c r="D197" s="43">
        <f>Daftar!D197</f>
        <v>0</v>
      </c>
      <c r="E197" s="43">
        <f>Daftar!E197</f>
        <v>0</v>
      </c>
    </row>
    <row r="198" spans="2:5" x14ac:dyDescent="0.25">
      <c r="B198" s="43">
        <f>Daftar!B198</f>
        <v>0</v>
      </c>
      <c r="C198" s="43">
        <f>Daftar!C198</f>
        <v>0</v>
      </c>
      <c r="D198" s="43">
        <f>Daftar!D198</f>
        <v>0</v>
      </c>
      <c r="E198" s="43">
        <f>Daftar!E198</f>
        <v>0</v>
      </c>
    </row>
    <row r="199" spans="2:5" x14ac:dyDescent="0.25">
      <c r="B199" s="43">
        <f>Daftar!B199</f>
        <v>0</v>
      </c>
      <c r="C199" s="43">
        <f>Daftar!C199</f>
        <v>0</v>
      </c>
      <c r="D199" s="43">
        <f>Daftar!D199</f>
        <v>0</v>
      </c>
      <c r="E199" s="43">
        <f>Daftar!E199</f>
        <v>0</v>
      </c>
    </row>
    <row r="200" spans="2:5" x14ac:dyDescent="0.25">
      <c r="B200" s="43">
        <f>Daftar!B200</f>
        <v>0</v>
      </c>
      <c r="C200" s="43">
        <f>Daftar!C200</f>
        <v>0</v>
      </c>
      <c r="D200" s="43">
        <f>Daftar!D200</f>
        <v>0</v>
      </c>
      <c r="E200" s="43">
        <f>Daftar!E200</f>
        <v>0</v>
      </c>
    </row>
    <row r="201" spans="2:5" x14ac:dyDescent="0.25">
      <c r="B201" s="43">
        <f>Daftar!B201</f>
        <v>0</v>
      </c>
      <c r="C201" s="43">
        <f>Daftar!C201</f>
        <v>0</v>
      </c>
      <c r="D201" s="43">
        <f>Daftar!D201</f>
        <v>0</v>
      </c>
      <c r="E201" s="43">
        <f>Daftar!E201</f>
        <v>0</v>
      </c>
    </row>
    <row r="202" spans="2:5" x14ac:dyDescent="0.25">
      <c r="B202" s="43">
        <f>Daftar!B202</f>
        <v>0</v>
      </c>
      <c r="C202" s="43">
        <f>Daftar!C202</f>
        <v>0</v>
      </c>
      <c r="D202" s="43">
        <f>Daftar!D202</f>
        <v>0</v>
      </c>
      <c r="E202" s="43">
        <f>Daftar!E202</f>
        <v>0</v>
      </c>
    </row>
    <row r="203" spans="2:5" x14ac:dyDescent="0.25">
      <c r="B203" s="43">
        <f>Daftar!B203</f>
        <v>0</v>
      </c>
      <c r="C203" s="43">
        <f>Daftar!C203</f>
        <v>0</v>
      </c>
      <c r="D203" s="43">
        <f>Daftar!D203</f>
        <v>0</v>
      </c>
      <c r="E203" s="43">
        <f>Daftar!E203</f>
        <v>0</v>
      </c>
    </row>
    <row r="204" spans="2:5" x14ac:dyDescent="0.25">
      <c r="B204" s="43">
        <f>Daftar!B204</f>
        <v>0</v>
      </c>
      <c r="C204" s="43">
        <f>Daftar!C204</f>
        <v>0</v>
      </c>
      <c r="D204" s="43">
        <f>Daftar!D204</f>
        <v>0</v>
      </c>
      <c r="E204" s="43">
        <f>Daftar!E204</f>
        <v>0</v>
      </c>
    </row>
    <row r="205" spans="2:5" x14ac:dyDescent="0.25">
      <c r="B205" s="43">
        <f>Daftar!B205</f>
        <v>0</v>
      </c>
      <c r="C205" s="43">
        <f>Daftar!C205</f>
        <v>0</v>
      </c>
      <c r="D205" s="43">
        <f>Daftar!D205</f>
        <v>0</v>
      </c>
      <c r="E205" s="43">
        <f>Daftar!E205</f>
        <v>0</v>
      </c>
    </row>
    <row r="206" spans="2:5" x14ac:dyDescent="0.25">
      <c r="B206" s="43">
        <f>Daftar!B206</f>
        <v>0</v>
      </c>
      <c r="C206" s="43">
        <f>Daftar!C206</f>
        <v>0</v>
      </c>
      <c r="D206" s="43">
        <f>Daftar!D206</f>
        <v>0</v>
      </c>
      <c r="E206" s="43">
        <f>Daftar!E206</f>
        <v>0</v>
      </c>
    </row>
    <row r="207" spans="2:5" x14ac:dyDescent="0.25">
      <c r="B207" s="43">
        <f>Daftar!B207</f>
        <v>0</v>
      </c>
      <c r="C207" s="43">
        <f>Daftar!C207</f>
        <v>0</v>
      </c>
      <c r="D207" s="43">
        <f>Daftar!D207</f>
        <v>0</v>
      </c>
      <c r="E207" s="43">
        <f>Daftar!E207</f>
        <v>0</v>
      </c>
    </row>
    <row r="208" spans="2:5" x14ac:dyDescent="0.25">
      <c r="B208" s="43">
        <f>Daftar!B208</f>
        <v>0</v>
      </c>
      <c r="C208" s="43">
        <f>Daftar!C208</f>
        <v>0</v>
      </c>
      <c r="D208" s="43">
        <f>Daftar!D208</f>
        <v>0</v>
      </c>
      <c r="E208" s="43">
        <f>Daftar!E208</f>
        <v>0</v>
      </c>
    </row>
    <row r="209" spans="2:5" x14ac:dyDescent="0.25">
      <c r="B209" s="43">
        <f>Daftar!B209</f>
        <v>0</v>
      </c>
      <c r="C209" s="43">
        <f>Daftar!C209</f>
        <v>0</v>
      </c>
      <c r="D209" s="43">
        <f>Daftar!D209</f>
        <v>0</v>
      </c>
      <c r="E209" s="43">
        <f>Daftar!E209</f>
        <v>0</v>
      </c>
    </row>
    <row r="210" spans="2:5" x14ac:dyDescent="0.25">
      <c r="B210" s="43">
        <f>Daftar!B210</f>
        <v>0</v>
      </c>
      <c r="C210" s="43">
        <f>Daftar!C210</f>
        <v>0</v>
      </c>
      <c r="D210" s="43">
        <f>Daftar!D210</f>
        <v>0</v>
      </c>
      <c r="E210" s="43">
        <f>Daftar!E210</f>
        <v>0</v>
      </c>
    </row>
    <row r="211" spans="2:5" x14ac:dyDescent="0.25">
      <c r="B211" s="43">
        <f>Daftar!B211</f>
        <v>0</v>
      </c>
      <c r="C211" s="43">
        <f>Daftar!C211</f>
        <v>0</v>
      </c>
      <c r="D211" s="43">
        <f>Daftar!D211</f>
        <v>0</v>
      </c>
      <c r="E211" s="43">
        <f>Daftar!E211</f>
        <v>0</v>
      </c>
    </row>
    <row r="212" spans="2:5" x14ac:dyDescent="0.25">
      <c r="B212" s="43">
        <f>Daftar!B212</f>
        <v>0</v>
      </c>
      <c r="C212" s="43">
        <f>Daftar!C212</f>
        <v>0</v>
      </c>
      <c r="D212" s="43">
        <f>Daftar!D212</f>
        <v>0</v>
      </c>
      <c r="E212" s="43">
        <f>Daftar!E212</f>
        <v>0</v>
      </c>
    </row>
    <row r="213" spans="2:5" x14ac:dyDescent="0.25">
      <c r="B213" s="43">
        <f>Daftar!B213</f>
        <v>0</v>
      </c>
      <c r="C213" s="43">
        <f>Daftar!C213</f>
        <v>0</v>
      </c>
      <c r="D213" s="43">
        <f>Daftar!D213</f>
        <v>0</v>
      </c>
      <c r="E213" s="43">
        <f>Daftar!E213</f>
        <v>0</v>
      </c>
    </row>
    <row r="214" spans="2:5" x14ac:dyDescent="0.25">
      <c r="B214" s="43">
        <f>Daftar!B214</f>
        <v>0</v>
      </c>
      <c r="C214" s="43">
        <f>Daftar!C214</f>
        <v>0</v>
      </c>
      <c r="D214" s="43">
        <f>Daftar!D214</f>
        <v>0</v>
      </c>
      <c r="E214" s="43">
        <f>Daftar!E214</f>
        <v>0</v>
      </c>
    </row>
    <row r="215" spans="2:5" x14ac:dyDescent="0.25">
      <c r="B215" s="43">
        <f>Daftar!B215</f>
        <v>0</v>
      </c>
      <c r="C215" s="43">
        <f>Daftar!C215</f>
        <v>0</v>
      </c>
      <c r="D215" s="43">
        <f>Daftar!D215</f>
        <v>0</v>
      </c>
      <c r="E215" s="43">
        <f>Daftar!E215</f>
        <v>0</v>
      </c>
    </row>
    <row r="216" spans="2:5" x14ac:dyDescent="0.25">
      <c r="B216" s="43">
        <f>Daftar!B216</f>
        <v>0</v>
      </c>
      <c r="C216" s="43">
        <f>Daftar!C216</f>
        <v>0</v>
      </c>
      <c r="D216" s="43">
        <f>Daftar!D216</f>
        <v>0</v>
      </c>
      <c r="E216" s="43">
        <f>Daftar!E216</f>
        <v>0</v>
      </c>
    </row>
    <row r="217" spans="2:5" x14ac:dyDescent="0.25">
      <c r="B217" s="43">
        <f>Daftar!B217</f>
        <v>0</v>
      </c>
      <c r="C217" s="43">
        <f>Daftar!C217</f>
        <v>0</v>
      </c>
      <c r="D217" s="43">
        <f>Daftar!D217</f>
        <v>0</v>
      </c>
      <c r="E217" s="43">
        <f>Daftar!E217</f>
        <v>0</v>
      </c>
    </row>
    <row r="218" spans="2:5" x14ac:dyDescent="0.25">
      <c r="B218" s="43">
        <f>Daftar!B218</f>
        <v>0</v>
      </c>
      <c r="C218" s="43">
        <f>Daftar!C218</f>
        <v>0</v>
      </c>
      <c r="D218" s="43">
        <f>Daftar!D218</f>
        <v>0</v>
      </c>
      <c r="E218" s="43">
        <f>Daftar!E218</f>
        <v>0</v>
      </c>
    </row>
    <row r="219" spans="2:5" x14ac:dyDescent="0.25">
      <c r="B219" s="43">
        <f>Daftar!B219</f>
        <v>0</v>
      </c>
      <c r="C219" s="43">
        <f>Daftar!C219</f>
        <v>0</v>
      </c>
      <c r="D219" s="43">
        <f>Daftar!D219</f>
        <v>0</v>
      </c>
      <c r="E219" s="43">
        <f>Daftar!E219</f>
        <v>0</v>
      </c>
    </row>
    <row r="220" spans="2:5" x14ac:dyDescent="0.25">
      <c r="B220" s="43">
        <f>Daftar!B220</f>
        <v>0</v>
      </c>
      <c r="C220" s="43">
        <f>Daftar!C220</f>
        <v>0</v>
      </c>
      <c r="D220" s="43">
        <f>Daftar!D220</f>
        <v>0</v>
      </c>
      <c r="E220" s="43">
        <f>Daftar!E220</f>
        <v>0</v>
      </c>
    </row>
    <row r="221" spans="2:5" x14ac:dyDescent="0.25">
      <c r="B221" s="43">
        <f>Daftar!B221</f>
        <v>0</v>
      </c>
      <c r="C221" s="43">
        <f>Daftar!C221</f>
        <v>0</v>
      </c>
      <c r="D221" s="43">
        <f>Daftar!D221</f>
        <v>0</v>
      </c>
      <c r="E221" s="43">
        <f>Daftar!E221</f>
        <v>0</v>
      </c>
    </row>
    <row r="222" spans="2:5" x14ac:dyDescent="0.25">
      <c r="B222" s="43">
        <f>Daftar!B222</f>
        <v>0</v>
      </c>
      <c r="C222" s="43">
        <f>Daftar!C222</f>
        <v>0</v>
      </c>
      <c r="D222" s="43">
        <f>Daftar!D222</f>
        <v>0</v>
      </c>
      <c r="E222" s="43">
        <f>Daftar!E222</f>
        <v>0</v>
      </c>
    </row>
    <row r="223" spans="2:5" x14ac:dyDescent="0.25">
      <c r="B223" s="43">
        <f>Daftar!B223</f>
        <v>0</v>
      </c>
      <c r="C223" s="43">
        <f>Daftar!C223</f>
        <v>0</v>
      </c>
      <c r="D223" s="43">
        <f>Daftar!D223</f>
        <v>0</v>
      </c>
      <c r="E223" s="43">
        <f>Daftar!E223</f>
        <v>0</v>
      </c>
    </row>
    <row r="224" spans="2:5" x14ac:dyDescent="0.25">
      <c r="B224" s="43">
        <f>Daftar!B224</f>
        <v>0</v>
      </c>
      <c r="C224" s="43">
        <f>Daftar!C224</f>
        <v>0</v>
      </c>
      <c r="D224" s="43">
        <f>Daftar!D224</f>
        <v>0</v>
      </c>
      <c r="E224" s="43">
        <f>Daftar!E224</f>
        <v>0</v>
      </c>
    </row>
    <row r="225" spans="2:5" x14ac:dyDescent="0.25">
      <c r="B225" s="43">
        <f>Daftar!B225</f>
        <v>0</v>
      </c>
      <c r="C225" s="43">
        <f>Daftar!C225</f>
        <v>0</v>
      </c>
      <c r="D225" s="43">
        <f>Daftar!D225</f>
        <v>0</v>
      </c>
      <c r="E225" s="43">
        <f>Daftar!E225</f>
        <v>0</v>
      </c>
    </row>
    <row r="226" spans="2:5" x14ac:dyDescent="0.25">
      <c r="B226" s="43">
        <f>Daftar!B226</f>
        <v>0</v>
      </c>
      <c r="C226" s="43">
        <f>Daftar!C226</f>
        <v>0</v>
      </c>
      <c r="D226" s="43">
        <f>Daftar!D226</f>
        <v>0</v>
      </c>
      <c r="E226" s="43">
        <f>Daftar!E226</f>
        <v>0</v>
      </c>
    </row>
    <row r="227" spans="2:5" x14ac:dyDescent="0.25">
      <c r="B227" s="43">
        <f>Daftar!B227</f>
        <v>0</v>
      </c>
      <c r="C227" s="43">
        <f>Daftar!C227</f>
        <v>0</v>
      </c>
      <c r="D227" s="43">
        <f>Daftar!D227</f>
        <v>0</v>
      </c>
      <c r="E227" s="43">
        <f>Daftar!E227</f>
        <v>0</v>
      </c>
    </row>
    <row r="228" spans="2:5" x14ac:dyDescent="0.25">
      <c r="B228" s="43">
        <f>Daftar!B228</f>
        <v>0</v>
      </c>
      <c r="C228" s="43">
        <f>Daftar!C228</f>
        <v>0</v>
      </c>
      <c r="D228" s="43">
        <f>Daftar!D228</f>
        <v>0</v>
      </c>
      <c r="E228" s="43">
        <f>Daftar!E228</f>
        <v>0</v>
      </c>
    </row>
    <row r="229" spans="2:5" x14ac:dyDescent="0.25">
      <c r="B229" s="43">
        <f>Daftar!B229</f>
        <v>0</v>
      </c>
      <c r="C229" s="43">
        <f>Daftar!C229</f>
        <v>0</v>
      </c>
      <c r="D229" s="43">
        <f>Daftar!D229</f>
        <v>0</v>
      </c>
      <c r="E229" s="43">
        <f>Daftar!E229</f>
        <v>0</v>
      </c>
    </row>
    <row r="230" spans="2:5" x14ac:dyDescent="0.25">
      <c r="B230" s="43">
        <f>Daftar!B230</f>
        <v>0</v>
      </c>
      <c r="C230" s="43">
        <f>Daftar!C230</f>
        <v>0</v>
      </c>
      <c r="D230" s="43">
        <f>Daftar!D230</f>
        <v>0</v>
      </c>
      <c r="E230" s="43">
        <f>Daftar!E230</f>
        <v>0</v>
      </c>
    </row>
    <row r="231" spans="2:5" x14ac:dyDescent="0.25">
      <c r="B231" s="43">
        <f>Daftar!B231</f>
        <v>0</v>
      </c>
      <c r="C231" s="43">
        <f>Daftar!C231</f>
        <v>0</v>
      </c>
      <c r="D231" s="43">
        <f>Daftar!D231</f>
        <v>0</v>
      </c>
      <c r="E231" s="43">
        <f>Daftar!E231</f>
        <v>0</v>
      </c>
    </row>
    <row r="232" spans="2:5" x14ac:dyDescent="0.25">
      <c r="B232" s="43">
        <f>Daftar!B232</f>
        <v>0</v>
      </c>
      <c r="C232" s="43">
        <f>Daftar!C232</f>
        <v>0</v>
      </c>
      <c r="D232" s="43">
        <f>Daftar!D232</f>
        <v>0</v>
      </c>
      <c r="E232" s="43">
        <f>Daftar!E232</f>
        <v>0</v>
      </c>
    </row>
    <row r="233" spans="2:5" x14ac:dyDescent="0.25">
      <c r="B233" s="43">
        <f>Daftar!B233</f>
        <v>0</v>
      </c>
      <c r="C233" s="43">
        <f>Daftar!C233</f>
        <v>0</v>
      </c>
      <c r="D233" s="43">
        <f>Daftar!D233</f>
        <v>0</v>
      </c>
      <c r="E233" s="43">
        <f>Daftar!E233</f>
        <v>0</v>
      </c>
    </row>
    <row r="234" spans="2:5" x14ac:dyDescent="0.25">
      <c r="B234" s="43">
        <f>Daftar!B234</f>
        <v>0</v>
      </c>
      <c r="C234" s="43">
        <f>Daftar!C234</f>
        <v>0</v>
      </c>
      <c r="D234" s="43">
        <f>Daftar!D234</f>
        <v>0</v>
      </c>
      <c r="E234" s="43">
        <f>Daftar!E234</f>
        <v>0</v>
      </c>
    </row>
    <row r="235" spans="2:5" x14ac:dyDescent="0.25">
      <c r="B235" s="43">
        <f>Daftar!B235</f>
        <v>0</v>
      </c>
      <c r="C235" s="43">
        <f>Daftar!C235</f>
        <v>0</v>
      </c>
      <c r="D235" s="43">
        <f>Daftar!D235</f>
        <v>0</v>
      </c>
      <c r="E235" s="43">
        <f>Daftar!E235</f>
        <v>0</v>
      </c>
    </row>
    <row r="236" spans="2:5" x14ac:dyDescent="0.25">
      <c r="B236" s="43">
        <f>Daftar!B236</f>
        <v>0</v>
      </c>
      <c r="C236" s="43">
        <f>Daftar!C236</f>
        <v>0</v>
      </c>
      <c r="D236" s="43">
        <f>Daftar!D236</f>
        <v>0</v>
      </c>
      <c r="E236" s="43">
        <f>Daftar!E236</f>
        <v>0</v>
      </c>
    </row>
    <row r="237" spans="2:5" x14ac:dyDescent="0.25">
      <c r="B237" s="43">
        <f>Daftar!B237</f>
        <v>0</v>
      </c>
      <c r="C237" s="43">
        <f>Daftar!C237</f>
        <v>0</v>
      </c>
      <c r="D237" s="43">
        <f>Daftar!D237</f>
        <v>0</v>
      </c>
      <c r="E237" s="43">
        <f>Daftar!E237</f>
        <v>0</v>
      </c>
    </row>
    <row r="238" spans="2:5" x14ac:dyDescent="0.25">
      <c r="B238" s="43">
        <f>Daftar!B238</f>
        <v>0</v>
      </c>
      <c r="C238" s="43">
        <f>Daftar!C238</f>
        <v>0</v>
      </c>
      <c r="D238" s="43">
        <f>Daftar!D238</f>
        <v>0</v>
      </c>
      <c r="E238" s="43">
        <f>Daftar!E238</f>
        <v>0</v>
      </c>
    </row>
    <row r="239" spans="2:5" x14ac:dyDescent="0.25">
      <c r="B239" s="43">
        <f>Daftar!B239</f>
        <v>0</v>
      </c>
      <c r="C239" s="43">
        <f>Daftar!C239</f>
        <v>0</v>
      </c>
      <c r="D239" s="43">
        <f>Daftar!D239</f>
        <v>0</v>
      </c>
      <c r="E239" s="43">
        <f>Daftar!E239</f>
        <v>0</v>
      </c>
    </row>
    <row r="240" spans="2:5" x14ac:dyDescent="0.25">
      <c r="B240" s="43">
        <f>Daftar!B240</f>
        <v>0</v>
      </c>
      <c r="C240" s="43">
        <f>Daftar!C240</f>
        <v>0</v>
      </c>
      <c r="D240" s="43">
        <f>Daftar!D240</f>
        <v>0</v>
      </c>
      <c r="E240" s="43">
        <f>Daftar!E240</f>
        <v>0</v>
      </c>
    </row>
    <row r="241" spans="2:5" x14ac:dyDescent="0.25">
      <c r="B241" s="43">
        <f>Daftar!B241</f>
        <v>0</v>
      </c>
      <c r="C241" s="43">
        <f>Daftar!C241</f>
        <v>0</v>
      </c>
      <c r="D241" s="43">
        <f>Daftar!D241</f>
        <v>0</v>
      </c>
      <c r="E241" s="43">
        <f>Daftar!E241</f>
        <v>0</v>
      </c>
    </row>
    <row r="242" spans="2:5" x14ac:dyDescent="0.25">
      <c r="B242" s="43">
        <f>Daftar!B242</f>
        <v>0</v>
      </c>
      <c r="C242" s="43">
        <f>Daftar!C242</f>
        <v>0</v>
      </c>
      <c r="D242" s="43">
        <f>Daftar!D242</f>
        <v>0</v>
      </c>
      <c r="E242" s="43">
        <f>Daftar!E242</f>
        <v>0</v>
      </c>
    </row>
    <row r="243" spans="2:5" x14ac:dyDescent="0.25">
      <c r="B243" s="43">
        <f>Daftar!B243</f>
        <v>0</v>
      </c>
      <c r="C243" s="43">
        <f>Daftar!C243</f>
        <v>0</v>
      </c>
      <c r="D243" s="43">
        <f>Daftar!D243</f>
        <v>0</v>
      </c>
      <c r="E243" s="43">
        <f>Daftar!E243</f>
        <v>0</v>
      </c>
    </row>
    <row r="244" spans="2:5" x14ac:dyDescent="0.25">
      <c r="B244" s="43">
        <f>Daftar!B244</f>
        <v>0</v>
      </c>
      <c r="C244" s="43">
        <f>Daftar!C244</f>
        <v>0</v>
      </c>
      <c r="D244" s="43">
        <f>Daftar!D244</f>
        <v>0</v>
      </c>
      <c r="E244" s="43">
        <f>Daftar!E244</f>
        <v>0</v>
      </c>
    </row>
    <row r="245" spans="2:5" x14ac:dyDescent="0.25">
      <c r="B245" s="43">
        <f>Daftar!B245</f>
        <v>0</v>
      </c>
      <c r="C245" s="43">
        <f>Daftar!C245</f>
        <v>0</v>
      </c>
      <c r="D245" s="43">
        <f>Daftar!D245</f>
        <v>0</v>
      </c>
      <c r="E245" s="43">
        <f>Daftar!E245</f>
        <v>0</v>
      </c>
    </row>
    <row r="246" spans="2:5" x14ac:dyDescent="0.25">
      <c r="B246" s="43">
        <f>Daftar!B246</f>
        <v>0</v>
      </c>
      <c r="C246" s="43">
        <f>Daftar!C246</f>
        <v>0</v>
      </c>
      <c r="D246" s="43">
        <f>Daftar!D246</f>
        <v>0</v>
      </c>
      <c r="E246" s="43">
        <f>Daftar!E246</f>
        <v>0</v>
      </c>
    </row>
    <row r="247" spans="2:5" x14ac:dyDescent="0.25">
      <c r="B247" s="43">
        <f>Daftar!B247</f>
        <v>0</v>
      </c>
      <c r="C247" s="43">
        <f>Daftar!C247</f>
        <v>0</v>
      </c>
      <c r="D247" s="43">
        <f>Daftar!D247</f>
        <v>0</v>
      </c>
      <c r="E247" s="43">
        <f>Daftar!E247</f>
        <v>0</v>
      </c>
    </row>
    <row r="248" spans="2:5" x14ac:dyDescent="0.25">
      <c r="B248" s="43">
        <f>Daftar!B248</f>
        <v>0</v>
      </c>
      <c r="C248" s="43">
        <f>Daftar!C248</f>
        <v>0</v>
      </c>
      <c r="D248" s="43">
        <f>Daftar!D248</f>
        <v>0</v>
      </c>
      <c r="E248" s="43">
        <f>Daftar!E248</f>
        <v>0</v>
      </c>
    </row>
    <row r="249" spans="2:5" x14ac:dyDescent="0.25">
      <c r="B249" s="43">
        <f>Daftar!B249</f>
        <v>0</v>
      </c>
      <c r="C249" s="43">
        <f>Daftar!C249</f>
        <v>0</v>
      </c>
      <c r="D249" s="43">
        <f>Daftar!D249</f>
        <v>0</v>
      </c>
      <c r="E249" s="43">
        <f>Daftar!E249</f>
        <v>0</v>
      </c>
    </row>
    <row r="250" spans="2:5" x14ac:dyDescent="0.25">
      <c r="B250" s="43">
        <f>Daftar!B250</f>
        <v>0</v>
      </c>
      <c r="C250" s="43">
        <f>Daftar!C250</f>
        <v>0</v>
      </c>
      <c r="D250" s="43">
        <f>Daftar!D250</f>
        <v>0</v>
      </c>
      <c r="E250" s="43">
        <f>Daftar!E250</f>
        <v>0</v>
      </c>
    </row>
    <row r="251" spans="2:5" x14ac:dyDescent="0.25">
      <c r="B251" s="43">
        <f>Daftar!B251</f>
        <v>0</v>
      </c>
      <c r="C251" s="43">
        <f>Daftar!C251</f>
        <v>0</v>
      </c>
      <c r="D251" s="43">
        <f>Daftar!D251</f>
        <v>0</v>
      </c>
      <c r="E251" s="43">
        <f>Daftar!E251</f>
        <v>0</v>
      </c>
    </row>
    <row r="252" spans="2:5" x14ac:dyDescent="0.25">
      <c r="B252" s="43">
        <f>Daftar!B252</f>
        <v>0</v>
      </c>
      <c r="C252" s="43">
        <f>Daftar!C252</f>
        <v>0</v>
      </c>
      <c r="D252" s="43">
        <f>Daftar!D252</f>
        <v>0</v>
      </c>
      <c r="E252" s="43">
        <f>Daftar!E252</f>
        <v>0</v>
      </c>
    </row>
    <row r="253" spans="2:5" x14ac:dyDescent="0.25">
      <c r="B253" s="43">
        <f>Daftar!B253</f>
        <v>0</v>
      </c>
      <c r="C253" s="43">
        <f>Daftar!C253</f>
        <v>0</v>
      </c>
      <c r="D253" s="43">
        <f>Daftar!D253</f>
        <v>0</v>
      </c>
      <c r="E253" s="43">
        <f>Daftar!E253</f>
        <v>0</v>
      </c>
    </row>
    <row r="254" spans="2:5" x14ac:dyDescent="0.25">
      <c r="B254" s="43">
        <f>Daftar!B254</f>
        <v>0</v>
      </c>
      <c r="C254" s="43">
        <f>Daftar!C254</f>
        <v>0</v>
      </c>
      <c r="D254" s="43">
        <f>Daftar!D254</f>
        <v>0</v>
      </c>
      <c r="E254" s="43">
        <f>Daftar!E254</f>
        <v>0</v>
      </c>
    </row>
    <row r="255" spans="2:5" x14ac:dyDescent="0.25">
      <c r="B255" s="43">
        <f>Daftar!B255</f>
        <v>0</v>
      </c>
      <c r="C255" s="43">
        <f>Daftar!C255</f>
        <v>0</v>
      </c>
      <c r="D255" s="43">
        <f>Daftar!D255</f>
        <v>0</v>
      </c>
      <c r="E255" s="43">
        <f>Daftar!E255</f>
        <v>0</v>
      </c>
    </row>
    <row r="256" spans="2:5" x14ac:dyDescent="0.25">
      <c r="B256" s="43">
        <f>Daftar!B256</f>
        <v>0</v>
      </c>
      <c r="C256" s="43">
        <f>Daftar!C256</f>
        <v>0</v>
      </c>
      <c r="D256" s="43">
        <f>Daftar!D256</f>
        <v>0</v>
      </c>
      <c r="E256" s="43">
        <f>Daftar!E256</f>
        <v>0</v>
      </c>
    </row>
    <row r="257" spans="2:5" x14ac:dyDescent="0.25">
      <c r="B257" s="43">
        <f>Daftar!B257</f>
        <v>0</v>
      </c>
      <c r="C257" s="43">
        <f>Daftar!C257</f>
        <v>0</v>
      </c>
      <c r="D257" s="43">
        <f>Daftar!D257</f>
        <v>0</v>
      </c>
      <c r="E257" s="43">
        <f>Daftar!E257</f>
        <v>0</v>
      </c>
    </row>
    <row r="258" spans="2:5" x14ac:dyDescent="0.25">
      <c r="B258" s="43">
        <f>Daftar!B258</f>
        <v>0</v>
      </c>
      <c r="C258" s="43">
        <f>Daftar!C258</f>
        <v>0</v>
      </c>
      <c r="D258" s="43">
        <f>Daftar!D258</f>
        <v>0</v>
      </c>
      <c r="E258" s="43">
        <f>Daftar!E258</f>
        <v>0</v>
      </c>
    </row>
    <row r="259" spans="2:5" x14ac:dyDescent="0.25">
      <c r="B259" s="43">
        <f>Daftar!B259</f>
        <v>0</v>
      </c>
      <c r="C259" s="43">
        <f>Daftar!C259</f>
        <v>0</v>
      </c>
      <c r="D259" s="43">
        <f>Daftar!D259</f>
        <v>0</v>
      </c>
      <c r="E259" s="43">
        <f>Daftar!E259</f>
        <v>0</v>
      </c>
    </row>
    <row r="260" spans="2:5" x14ac:dyDescent="0.25">
      <c r="B260" s="43">
        <f>Daftar!B260</f>
        <v>0</v>
      </c>
      <c r="C260" s="43">
        <f>Daftar!C260</f>
        <v>0</v>
      </c>
      <c r="D260" s="43">
        <f>Daftar!D260</f>
        <v>0</v>
      </c>
      <c r="E260" s="43">
        <f>Daftar!E260</f>
        <v>0</v>
      </c>
    </row>
    <row r="261" spans="2:5" x14ac:dyDescent="0.25">
      <c r="B261" s="43">
        <f>Daftar!B261</f>
        <v>0</v>
      </c>
      <c r="C261" s="43">
        <f>Daftar!C261</f>
        <v>0</v>
      </c>
      <c r="D261" s="43">
        <f>Daftar!D261</f>
        <v>0</v>
      </c>
      <c r="E261" s="43">
        <f>Daftar!E261</f>
        <v>0</v>
      </c>
    </row>
    <row r="262" spans="2:5" x14ac:dyDescent="0.25">
      <c r="B262" s="43">
        <f>Daftar!B262</f>
        <v>0</v>
      </c>
      <c r="C262" s="43">
        <f>Daftar!C262</f>
        <v>0</v>
      </c>
      <c r="D262" s="43">
        <f>Daftar!D262</f>
        <v>0</v>
      </c>
      <c r="E262" s="43">
        <f>Daftar!E262</f>
        <v>0</v>
      </c>
    </row>
    <row r="263" spans="2:5" x14ac:dyDescent="0.25">
      <c r="B263" s="43">
        <f>Daftar!B263</f>
        <v>0</v>
      </c>
      <c r="C263" s="43">
        <f>Daftar!C263</f>
        <v>0</v>
      </c>
      <c r="D263" s="43">
        <f>Daftar!D263</f>
        <v>0</v>
      </c>
      <c r="E263" s="43">
        <f>Daftar!E263</f>
        <v>0</v>
      </c>
    </row>
    <row r="264" spans="2:5" x14ac:dyDescent="0.25">
      <c r="B264" s="43">
        <f>Daftar!B264</f>
        <v>0</v>
      </c>
      <c r="C264" s="43">
        <f>Daftar!C264</f>
        <v>0</v>
      </c>
      <c r="D264" s="43">
        <f>Daftar!D264</f>
        <v>0</v>
      </c>
      <c r="E264" s="43">
        <f>Daftar!E264</f>
        <v>0</v>
      </c>
    </row>
    <row r="265" spans="2:5" x14ac:dyDescent="0.25">
      <c r="B265" s="43">
        <f>Daftar!B265</f>
        <v>0</v>
      </c>
      <c r="C265" s="43">
        <f>Daftar!C265</f>
        <v>0</v>
      </c>
      <c r="D265" s="43">
        <f>Daftar!D265</f>
        <v>0</v>
      </c>
      <c r="E265" s="43">
        <f>Daftar!E265</f>
        <v>0</v>
      </c>
    </row>
    <row r="266" spans="2:5" x14ac:dyDescent="0.25">
      <c r="B266" s="43">
        <f>Daftar!B266</f>
        <v>0</v>
      </c>
      <c r="C266" s="43">
        <f>Daftar!C266</f>
        <v>0</v>
      </c>
      <c r="D266" s="43">
        <f>Daftar!D266</f>
        <v>0</v>
      </c>
      <c r="E266" s="43">
        <f>Daftar!E266</f>
        <v>0</v>
      </c>
    </row>
    <row r="267" spans="2:5" x14ac:dyDescent="0.25">
      <c r="B267" s="43">
        <f>Daftar!B267</f>
        <v>0</v>
      </c>
      <c r="C267" s="43">
        <f>Daftar!C267</f>
        <v>0</v>
      </c>
      <c r="D267" s="43">
        <f>Daftar!D267</f>
        <v>0</v>
      </c>
      <c r="E267" s="43">
        <f>Daftar!E267</f>
        <v>0</v>
      </c>
    </row>
    <row r="268" spans="2:5" x14ac:dyDescent="0.25">
      <c r="B268" s="43">
        <f>Daftar!B268</f>
        <v>0</v>
      </c>
      <c r="C268" s="43">
        <f>Daftar!C268</f>
        <v>0</v>
      </c>
      <c r="D268" s="43">
        <f>Daftar!D268</f>
        <v>0</v>
      </c>
      <c r="E268" s="43">
        <f>Daftar!E268</f>
        <v>0</v>
      </c>
    </row>
    <row r="269" spans="2:5" x14ac:dyDescent="0.25">
      <c r="B269" s="43">
        <f>Daftar!B269</f>
        <v>0</v>
      </c>
      <c r="C269" s="43">
        <f>Daftar!C269</f>
        <v>0</v>
      </c>
      <c r="D269" s="43">
        <f>Daftar!D269</f>
        <v>0</v>
      </c>
      <c r="E269" s="43">
        <f>Daftar!E269</f>
        <v>0</v>
      </c>
    </row>
    <row r="270" spans="2:5" x14ac:dyDescent="0.25">
      <c r="B270" s="43">
        <f>Daftar!B270</f>
        <v>0</v>
      </c>
      <c r="C270" s="43">
        <f>Daftar!C270</f>
        <v>0</v>
      </c>
      <c r="D270" s="43">
        <f>Daftar!D270</f>
        <v>0</v>
      </c>
      <c r="E270" s="43">
        <f>Daftar!E270</f>
        <v>0</v>
      </c>
    </row>
    <row r="271" spans="2:5" x14ac:dyDescent="0.25">
      <c r="B271" s="43">
        <f>Daftar!B271</f>
        <v>0</v>
      </c>
      <c r="C271" s="43">
        <f>Daftar!C271</f>
        <v>0</v>
      </c>
      <c r="D271" s="43">
        <f>Daftar!D271</f>
        <v>0</v>
      </c>
      <c r="E271" s="43">
        <f>Daftar!E271</f>
        <v>0</v>
      </c>
    </row>
    <row r="272" spans="2:5" x14ac:dyDescent="0.25">
      <c r="B272" s="43">
        <f>Daftar!B272</f>
        <v>0</v>
      </c>
      <c r="C272" s="43">
        <f>Daftar!C272</f>
        <v>0</v>
      </c>
      <c r="D272" s="43">
        <f>Daftar!D272</f>
        <v>0</v>
      </c>
      <c r="E272" s="43">
        <f>Daftar!E272</f>
        <v>0</v>
      </c>
    </row>
    <row r="273" spans="2:5" x14ac:dyDescent="0.25">
      <c r="B273" s="43">
        <f>Daftar!B273</f>
        <v>0</v>
      </c>
      <c r="C273" s="43">
        <f>Daftar!C273</f>
        <v>0</v>
      </c>
      <c r="D273" s="43">
        <f>Daftar!D273</f>
        <v>0</v>
      </c>
      <c r="E273" s="43">
        <f>Daftar!E273</f>
        <v>0</v>
      </c>
    </row>
    <row r="274" spans="2:5" x14ac:dyDescent="0.25">
      <c r="B274" s="43">
        <f>Daftar!B274</f>
        <v>0</v>
      </c>
      <c r="C274" s="43">
        <f>Daftar!C274</f>
        <v>0</v>
      </c>
      <c r="D274" s="43">
        <f>Daftar!D274</f>
        <v>0</v>
      </c>
      <c r="E274" s="43">
        <f>Daftar!E274</f>
        <v>0</v>
      </c>
    </row>
    <row r="275" spans="2:5" x14ac:dyDescent="0.25">
      <c r="B275" s="43">
        <f>Daftar!B275</f>
        <v>0</v>
      </c>
      <c r="C275" s="43">
        <f>Daftar!C275</f>
        <v>0</v>
      </c>
      <c r="D275" s="43">
        <f>Daftar!D275</f>
        <v>0</v>
      </c>
      <c r="E275" s="43">
        <f>Daftar!E275</f>
        <v>0</v>
      </c>
    </row>
    <row r="276" spans="2:5" x14ac:dyDescent="0.25">
      <c r="B276" s="43">
        <f>Daftar!B276</f>
        <v>0</v>
      </c>
      <c r="C276" s="43">
        <f>Daftar!C276</f>
        <v>0</v>
      </c>
      <c r="D276" s="43">
        <f>Daftar!D276</f>
        <v>0</v>
      </c>
      <c r="E276" s="43">
        <f>Daftar!E276</f>
        <v>0</v>
      </c>
    </row>
    <row r="277" spans="2:5" x14ac:dyDescent="0.25">
      <c r="B277" s="43">
        <f>Daftar!B277</f>
        <v>0</v>
      </c>
      <c r="C277" s="43">
        <f>Daftar!C277</f>
        <v>0</v>
      </c>
      <c r="D277" s="43">
        <f>Daftar!D277</f>
        <v>0</v>
      </c>
      <c r="E277" s="43">
        <f>Daftar!E277</f>
        <v>0</v>
      </c>
    </row>
    <row r="278" spans="2:5" x14ac:dyDescent="0.25">
      <c r="B278" s="43">
        <f>Daftar!B278</f>
        <v>0</v>
      </c>
      <c r="C278" s="43">
        <f>Daftar!C278</f>
        <v>0</v>
      </c>
      <c r="D278" s="43">
        <f>Daftar!D278</f>
        <v>0</v>
      </c>
      <c r="E278" s="43">
        <f>Daftar!E278</f>
        <v>0</v>
      </c>
    </row>
    <row r="279" spans="2:5" x14ac:dyDescent="0.25">
      <c r="B279" s="43">
        <f>Daftar!B279</f>
        <v>0</v>
      </c>
      <c r="C279" s="43">
        <f>Daftar!C279</f>
        <v>0</v>
      </c>
      <c r="D279" s="43">
        <f>Daftar!D279</f>
        <v>0</v>
      </c>
      <c r="E279" s="43">
        <f>Daftar!E279</f>
        <v>0</v>
      </c>
    </row>
    <row r="280" spans="2:5" x14ac:dyDescent="0.25">
      <c r="B280" s="43">
        <f>Daftar!B280</f>
        <v>0</v>
      </c>
      <c r="C280" s="43">
        <f>Daftar!C280</f>
        <v>0</v>
      </c>
      <c r="D280" s="43">
        <f>Daftar!D280</f>
        <v>0</v>
      </c>
      <c r="E280" s="43">
        <f>Daftar!E280</f>
        <v>0</v>
      </c>
    </row>
    <row r="281" spans="2:5" x14ac:dyDescent="0.25">
      <c r="B281" s="43">
        <f>Daftar!B281</f>
        <v>0</v>
      </c>
      <c r="C281" s="43">
        <f>Daftar!C281</f>
        <v>0</v>
      </c>
      <c r="D281" s="43">
        <f>Daftar!D281</f>
        <v>0</v>
      </c>
      <c r="E281" s="43">
        <f>Daftar!E281</f>
        <v>0</v>
      </c>
    </row>
    <row r="282" spans="2:5" x14ac:dyDescent="0.25">
      <c r="B282" s="43">
        <f>Daftar!B282</f>
        <v>0</v>
      </c>
      <c r="C282" s="43">
        <f>Daftar!C282</f>
        <v>0</v>
      </c>
      <c r="D282" s="43">
        <f>Daftar!D282</f>
        <v>0</v>
      </c>
      <c r="E282" s="43">
        <f>Daftar!E282</f>
        <v>0</v>
      </c>
    </row>
    <row r="283" spans="2:5" x14ac:dyDescent="0.25">
      <c r="B283" s="43">
        <f>Daftar!B283</f>
        <v>0</v>
      </c>
      <c r="C283" s="43">
        <f>Daftar!C283</f>
        <v>0</v>
      </c>
      <c r="D283" s="43">
        <f>Daftar!D283</f>
        <v>0</v>
      </c>
      <c r="E283" s="43">
        <f>Daftar!E283</f>
        <v>0</v>
      </c>
    </row>
    <row r="284" spans="2:5" x14ac:dyDescent="0.25">
      <c r="B284" s="43">
        <f>Daftar!B284</f>
        <v>0</v>
      </c>
      <c r="C284" s="43">
        <f>Daftar!C284</f>
        <v>0</v>
      </c>
      <c r="D284" s="43">
        <f>Daftar!D284</f>
        <v>0</v>
      </c>
      <c r="E284" s="43">
        <f>Daftar!E284</f>
        <v>0</v>
      </c>
    </row>
    <row r="285" spans="2:5" x14ac:dyDescent="0.25">
      <c r="B285" s="43">
        <f>Daftar!B285</f>
        <v>0</v>
      </c>
      <c r="C285" s="43">
        <f>Daftar!C285</f>
        <v>0</v>
      </c>
      <c r="D285" s="43">
        <f>Daftar!D285</f>
        <v>0</v>
      </c>
      <c r="E285" s="43">
        <f>Daftar!E285</f>
        <v>0</v>
      </c>
    </row>
    <row r="286" spans="2:5" x14ac:dyDescent="0.25">
      <c r="B286" s="43">
        <f>Daftar!B286</f>
        <v>0</v>
      </c>
      <c r="C286" s="43">
        <f>Daftar!C286</f>
        <v>0</v>
      </c>
      <c r="D286" s="43">
        <f>Daftar!D286</f>
        <v>0</v>
      </c>
      <c r="E286" s="43">
        <f>Daftar!E286</f>
        <v>0</v>
      </c>
    </row>
    <row r="287" spans="2:5" x14ac:dyDescent="0.25">
      <c r="B287" s="43">
        <f>Daftar!B287</f>
        <v>0</v>
      </c>
      <c r="C287" s="43">
        <f>Daftar!C287</f>
        <v>0</v>
      </c>
      <c r="D287" s="43">
        <f>Daftar!D287</f>
        <v>0</v>
      </c>
      <c r="E287" s="43">
        <f>Daftar!E287</f>
        <v>0</v>
      </c>
    </row>
    <row r="288" spans="2:5" x14ac:dyDescent="0.25">
      <c r="B288" s="43">
        <f>Daftar!B288</f>
        <v>0</v>
      </c>
      <c r="C288" s="43">
        <f>Daftar!C288</f>
        <v>0</v>
      </c>
      <c r="D288" s="43">
        <f>Daftar!D288</f>
        <v>0</v>
      </c>
      <c r="E288" s="43">
        <f>Daftar!E288</f>
        <v>0</v>
      </c>
    </row>
    <row r="289" spans="2:5" x14ac:dyDescent="0.25">
      <c r="B289" s="43">
        <f>Daftar!B289</f>
        <v>0</v>
      </c>
      <c r="C289" s="43">
        <f>Daftar!C289</f>
        <v>0</v>
      </c>
      <c r="D289" s="43">
        <f>Daftar!D289</f>
        <v>0</v>
      </c>
      <c r="E289" s="43">
        <f>Daftar!E289</f>
        <v>0</v>
      </c>
    </row>
    <row r="290" spans="2:5" x14ac:dyDescent="0.25">
      <c r="B290" s="43">
        <f>Daftar!B290</f>
        <v>0</v>
      </c>
      <c r="C290" s="43">
        <f>Daftar!C290</f>
        <v>0</v>
      </c>
      <c r="D290" s="43">
        <f>Daftar!D290</f>
        <v>0</v>
      </c>
      <c r="E290" s="43">
        <f>Daftar!E290</f>
        <v>0</v>
      </c>
    </row>
    <row r="291" spans="2:5" x14ac:dyDescent="0.25">
      <c r="B291" s="43">
        <f>Daftar!B291</f>
        <v>0</v>
      </c>
      <c r="C291" s="43">
        <f>Daftar!C291</f>
        <v>0</v>
      </c>
      <c r="D291" s="43">
        <f>Daftar!D291</f>
        <v>0</v>
      </c>
      <c r="E291" s="43">
        <f>Daftar!E291</f>
        <v>0</v>
      </c>
    </row>
    <row r="292" spans="2:5" x14ac:dyDescent="0.25">
      <c r="B292" s="43">
        <f>Daftar!B292</f>
        <v>0</v>
      </c>
      <c r="C292" s="43">
        <f>Daftar!C292</f>
        <v>0</v>
      </c>
      <c r="D292" s="43">
        <f>Daftar!D292</f>
        <v>0</v>
      </c>
      <c r="E292" s="43">
        <f>Daftar!E292</f>
        <v>0</v>
      </c>
    </row>
    <row r="293" spans="2:5" x14ac:dyDescent="0.25">
      <c r="B293" s="43">
        <f>Daftar!B293</f>
        <v>0</v>
      </c>
      <c r="C293" s="43">
        <f>Daftar!C293</f>
        <v>0</v>
      </c>
      <c r="D293" s="43">
        <f>Daftar!D293</f>
        <v>0</v>
      </c>
      <c r="E293" s="43">
        <f>Daftar!E293</f>
        <v>0</v>
      </c>
    </row>
    <row r="294" spans="2:5" x14ac:dyDescent="0.25">
      <c r="B294" s="43">
        <f>Daftar!B294</f>
        <v>0</v>
      </c>
      <c r="C294" s="43">
        <f>Daftar!C294</f>
        <v>0</v>
      </c>
      <c r="D294" s="43">
        <f>Daftar!D294</f>
        <v>0</v>
      </c>
      <c r="E294" s="43">
        <f>Daftar!E294</f>
        <v>0</v>
      </c>
    </row>
    <row r="295" spans="2:5" x14ac:dyDescent="0.25">
      <c r="B295" s="43">
        <f>Daftar!B295</f>
        <v>0</v>
      </c>
      <c r="C295" s="43">
        <f>Daftar!C295</f>
        <v>0</v>
      </c>
      <c r="D295" s="43">
        <f>Daftar!D295</f>
        <v>0</v>
      </c>
      <c r="E295" s="43">
        <f>Daftar!E295</f>
        <v>0</v>
      </c>
    </row>
    <row r="296" spans="2:5" x14ac:dyDescent="0.25">
      <c r="B296" s="43">
        <f>Daftar!B296</f>
        <v>0</v>
      </c>
      <c r="C296" s="43">
        <f>Daftar!C296</f>
        <v>0</v>
      </c>
      <c r="D296" s="43">
        <f>Daftar!D296</f>
        <v>0</v>
      </c>
      <c r="E296" s="43">
        <f>Daftar!E296</f>
        <v>0</v>
      </c>
    </row>
    <row r="297" spans="2:5" x14ac:dyDescent="0.25">
      <c r="B297" s="43">
        <f>Daftar!B297</f>
        <v>0</v>
      </c>
      <c r="C297" s="43">
        <f>Daftar!C297</f>
        <v>0</v>
      </c>
      <c r="D297" s="43">
        <f>Daftar!D297</f>
        <v>0</v>
      </c>
      <c r="E297" s="43">
        <f>Daftar!E297</f>
        <v>0</v>
      </c>
    </row>
    <row r="298" spans="2:5" x14ac:dyDescent="0.25">
      <c r="B298" s="43">
        <f>Daftar!B298</f>
        <v>0</v>
      </c>
      <c r="C298" s="43">
        <f>Daftar!C298</f>
        <v>0</v>
      </c>
      <c r="D298" s="43">
        <f>Daftar!D298</f>
        <v>0</v>
      </c>
      <c r="E298" s="43">
        <f>Daftar!E298</f>
        <v>0</v>
      </c>
    </row>
    <row r="299" spans="2:5" x14ac:dyDescent="0.25">
      <c r="B299" s="43">
        <f>Daftar!B299</f>
        <v>0</v>
      </c>
      <c r="C299" s="43">
        <f>Daftar!C299</f>
        <v>0</v>
      </c>
      <c r="D299" s="43">
        <f>Daftar!D299</f>
        <v>0</v>
      </c>
      <c r="E299" s="43">
        <f>Daftar!E299</f>
        <v>0</v>
      </c>
    </row>
    <row r="300" spans="2:5" x14ac:dyDescent="0.25">
      <c r="B300" s="43">
        <f>Daftar!B300</f>
        <v>0</v>
      </c>
      <c r="C300" s="43">
        <f>Daftar!C300</f>
        <v>0</v>
      </c>
      <c r="D300" s="43">
        <f>Daftar!D300</f>
        <v>0</v>
      </c>
      <c r="E300" s="43">
        <f>Daftar!E300</f>
        <v>0</v>
      </c>
    </row>
    <row r="301" spans="2:5" x14ac:dyDescent="0.25">
      <c r="B301" s="43">
        <f>Daftar!B301</f>
        <v>0</v>
      </c>
      <c r="C301" s="43">
        <f>Daftar!C301</f>
        <v>0</v>
      </c>
      <c r="D301" s="43">
        <f>Daftar!D301</f>
        <v>0</v>
      </c>
      <c r="E301" s="43">
        <f>Daftar!E301</f>
        <v>0</v>
      </c>
    </row>
    <row r="302" spans="2:5" x14ac:dyDescent="0.25">
      <c r="B302" s="43">
        <f>Daftar!B302</f>
        <v>0</v>
      </c>
      <c r="C302" s="43">
        <f>Daftar!C302</f>
        <v>0</v>
      </c>
      <c r="D302" s="43">
        <f>Daftar!D302</f>
        <v>0</v>
      </c>
      <c r="E302" s="43">
        <f>Daftar!E302</f>
        <v>0</v>
      </c>
    </row>
    <row r="303" spans="2:5" x14ac:dyDescent="0.25">
      <c r="B303" s="43">
        <f>Daftar!B303</f>
        <v>0</v>
      </c>
      <c r="C303" s="43">
        <f>Daftar!C303</f>
        <v>0</v>
      </c>
      <c r="D303" s="43">
        <f>Daftar!D303</f>
        <v>0</v>
      </c>
      <c r="E303" s="43">
        <f>Daftar!E303</f>
        <v>0</v>
      </c>
    </row>
    <row r="304" spans="2:5" x14ac:dyDescent="0.25">
      <c r="B304" s="43">
        <f>Daftar!B304</f>
        <v>0</v>
      </c>
      <c r="C304" s="43">
        <f>Daftar!C304</f>
        <v>0</v>
      </c>
      <c r="D304" s="43">
        <f>Daftar!D304</f>
        <v>0</v>
      </c>
      <c r="E304" s="43">
        <f>Daftar!E304</f>
        <v>0</v>
      </c>
    </row>
    <row r="305" spans="2:5" x14ac:dyDescent="0.25">
      <c r="B305" s="43">
        <f>Daftar!B305</f>
        <v>0</v>
      </c>
      <c r="C305" s="43">
        <f>Daftar!C305</f>
        <v>0</v>
      </c>
      <c r="D305" s="43">
        <f>Daftar!D305</f>
        <v>0</v>
      </c>
      <c r="E305" s="43">
        <f>Daftar!E305</f>
        <v>0</v>
      </c>
    </row>
    <row r="306" spans="2:5" x14ac:dyDescent="0.25">
      <c r="B306" s="43">
        <f>Daftar!B306</f>
        <v>0</v>
      </c>
      <c r="C306" s="43">
        <f>Daftar!C306</f>
        <v>0</v>
      </c>
      <c r="D306" s="43">
        <f>Daftar!D306</f>
        <v>0</v>
      </c>
      <c r="E306" s="43">
        <f>Daftar!E306</f>
        <v>0</v>
      </c>
    </row>
    <row r="307" spans="2:5" x14ac:dyDescent="0.25">
      <c r="B307" s="43">
        <f>Daftar!B307</f>
        <v>0</v>
      </c>
      <c r="C307" s="43">
        <f>Daftar!C307</f>
        <v>0</v>
      </c>
      <c r="D307" s="43">
        <f>Daftar!D307</f>
        <v>0</v>
      </c>
      <c r="E307" s="43">
        <f>Daftar!E307</f>
        <v>0</v>
      </c>
    </row>
    <row r="308" spans="2:5" x14ac:dyDescent="0.25">
      <c r="B308" s="43">
        <f>Daftar!B308</f>
        <v>0</v>
      </c>
      <c r="C308" s="43">
        <f>Daftar!C308</f>
        <v>0</v>
      </c>
      <c r="D308" s="43">
        <f>Daftar!D308</f>
        <v>0</v>
      </c>
      <c r="E308" s="43">
        <f>Daftar!E308</f>
        <v>0</v>
      </c>
    </row>
    <row r="309" spans="2:5" x14ac:dyDescent="0.25">
      <c r="B309" s="43">
        <f>Daftar!B309</f>
        <v>0</v>
      </c>
      <c r="C309" s="43">
        <f>Daftar!C309</f>
        <v>0</v>
      </c>
      <c r="D309" s="43">
        <f>Daftar!D309</f>
        <v>0</v>
      </c>
      <c r="E309" s="43">
        <f>Daftar!E309</f>
        <v>0</v>
      </c>
    </row>
    <row r="310" spans="2:5" x14ac:dyDescent="0.25">
      <c r="B310" s="43">
        <f>Daftar!B310</f>
        <v>0</v>
      </c>
      <c r="C310" s="43">
        <f>Daftar!C310</f>
        <v>0</v>
      </c>
      <c r="D310" s="43">
        <f>Daftar!D310</f>
        <v>0</v>
      </c>
      <c r="E310" s="43">
        <f>Daftar!E310</f>
        <v>0</v>
      </c>
    </row>
    <row r="311" spans="2:5" x14ac:dyDescent="0.25">
      <c r="B311" s="43">
        <f>Daftar!B311</f>
        <v>0</v>
      </c>
      <c r="C311" s="43">
        <f>Daftar!C311</f>
        <v>0</v>
      </c>
      <c r="D311" s="43">
        <f>Daftar!D311</f>
        <v>0</v>
      </c>
      <c r="E311" s="43">
        <f>Daftar!E311</f>
        <v>0</v>
      </c>
    </row>
    <row r="312" spans="2:5" x14ac:dyDescent="0.25">
      <c r="B312" s="43">
        <f>Daftar!B312</f>
        <v>0</v>
      </c>
      <c r="C312" s="43">
        <f>Daftar!C312</f>
        <v>0</v>
      </c>
      <c r="D312" s="43">
        <f>Daftar!D312</f>
        <v>0</v>
      </c>
      <c r="E312" s="43">
        <f>Daftar!E312</f>
        <v>0</v>
      </c>
    </row>
    <row r="313" spans="2:5" x14ac:dyDescent="0.25">
      <c r="B313" s="43">
        <f>Daftar!B313</f>
        <v>0</v>
      </c>
      <c r="C313" s="43">
        <f>Daftar!C313</f>
        <v>0</v>
      </c>
      <c r="D313" s="43">
        <f>Daftar!D313</f>
        <v>0</v>
      </c>
      <c r="E313" s="43">
        <f>Daftar!E313</f>
        <v>0</v>
      </c>
    </row>
    <row r="314" spans="2:5" x14ac:dyDescent="0.25">
      <c r="B314" s="43">
        <f>Daftar!B314</f>
        <v>0</v>
      </c>
      <c r="C314" s="43">
        <f>Daftar!C314</f>
        <v>0</v>
      </c>
      <c r="D314" s="43">
        <f>Daftar!D314</f>
        <v>0</v>
      </c>
      <c r="E314" s="43">
        <f>Daftar!E314</f>
        <v>0</v>
      </c>
    </row>
    <row r="315" spans="2:5" x14ac:dyDescent="0.25">
      <c r="B315" s="43">
        <f>Daftar!B315</f>
        <v>0</v>
      </c>
      <c r="C315" s="43">
        <f>Daftar!C315</f>
        <v>0</v>
      </c>
      <c r="D315" s="43">
        <f>Daftar!D315</f>
        <v>0</v>
      </c>
      <c r="E315" s="43">
        <f>Daftar!E315</f>
        <v>0</v>
      </c>
    </row>
    <row r="316" spans="2:5" x14ac:dyDescent="0.25">
      <c r="B316" s="43">
        <f>Daftar!B316</f>
        <v>0</v>
      </c>
      <c r="C316" s="43">
        <f>Daftar!C316</f>
        <v>0</v>
      </c>
      <c r="D316" s="43">
        <f>Daftar!D316</f>
        <v>0</v>
      </c>
      <c r="E316" s="43">
        <f>Daftar!E316</f>
        <v>0</v>
      </c>
    </row>
    <row r="317" spans="2:5" x14ac:dyDescent="0.25">
      <c r="B317" s="43">
        <f>Daftar!B317</f>
        <v>0</v>
      </c>
      <c r="C317" s="43">
        <f>Daftar!C317</f>
        <v>0</v>
      </c>
      <c r="D317" s="43">
        <f>Daftar!D317</f>
        <v>0</v>
      </c>
      <c r="E317" s="43">
        <f>Daftar!E317</f>
        <v>0</v>
      </c>
    </row>
    <row r="318" spans="2:5" x14ac:dyDescent="0.25">
      <c r="B318" s="43">
        <f>Daftar!B318</f>
        <v>0</v>
      </c>
      <c r="C318" s="43">
        <f>Daftar!C318</f>
        <v>0</v>
      </c>
      <c r="D318" s="43">
        <f>Daftar!D318</f>
        <v>0</v>
      </c>
      <c r="E318" s="43">
        <f>Daftar!E318</f>
        <v>0</v>
      </c>
    </row>
    <row r="319" spans="2:5" x14ac:dyDescent="0.25">
      <c r="B319" s="43">
        <f>Daftar!B319</f>
        <v>0</v>
      </c>
      <c r="C319" s="43">
        <f>Daftar!C319</f>
        <v>0</v>
      </c>
      <c r="D319" s="43">
        <f>Daftar!D319</f>
        <v>0</v>
      </c>
      <c r="E319" s="43">
        <f>Daftar!E319</f>
        <v>0</v>
      </c>
    </row>
    <row r="320" spans="2:5" x14ac:dyDescent="0.25">
      <c r="B320" s="43">
        <f>Daftar!B320</f>
        <v>0</v>
      </c>
      <c r="C320" s="43">
        <f>Daftar!C320</f>
        <v>0</v>
      </c>
      <c r="D320" s="43">
        <f>Daftar!D320</f>
        <v>0</v>
      </c>
      <c r="E320" s="43">
        <f>Daftar!E320</f>
        <v>0</v>
      </c>
    </row>
    <row r="321" spans="2:5" x14ac:dyDescent="0.25">
      <c r="B321" s="43">
        <f>Daftar!B321</f>
        <v>0</v>
      </c>
      <c r="C321" s="43">
        <f>Daftar!C321</f>
        <v>0</v>
      </c>
      <c r="D321" s="43">
        <f>Daftar!D321</f>
        <v>0</v>
      </c>
      <c r="E321" s="43">
        <f>Daftar!E321</f>
        <v>0</v>
      </c>
    </row>
    <row r="322" spans="2:5" x14ac:dyDescent="0.25">
      <c r="B322" s="43">
        <f>Daftar!B322</f>
        <v>0</v>
      </c>
      <c r="C322" s="43">
        <f>Daftar!C322</f>
        <v>0</v>
      </c>
      <c r="D322" s="43">
        <f>Daftar!D322</f>
        <v>0</v>
      </c>
      <c r="E322" s="43">
        <f>Daftar!E322</f>
        <v>0</v>
      </c>
    </row>
    <row r="323" spans="2:5" x14ac:dyDescent="0.25">
      <c r="B323" s="43">
        <f>Daftar!B323</f>
        <v>0</v>
      </c>
      <c r="C323" s="43">
        <f>Daftar!C323</f>
        <v>0</v>
      </c>
      <c r="D323" s="43">
        <f>Daftar!D323</f>
        <v>0</v>
      </c>
      <c r="E323" s="43">
        <f>Daftar!E323</f>
        <v>0</v>
      </c>
    </row>
    <row r="324" spans="2:5" x14ac:dyDescent="0.25">
      <c r="B324" s="43">
        <f>Daftar!B324</f>
        <v>0</v>
      </c>
      <c r="C324" s="43">
        <f>Daftar!C324</f>
        <v>0</v>
      </c>
      <c r="D324" s="43">
        <f>Daftar!D324</f>
        <v>0</v>
      </c>
      <c r="E324" s="43">
        <f>Daftar!E324</f>
        <v>0</v>
      </c>
    </row>
    <row r="325" spans="2:5" x14ac:dyDescent="0.25">
      <c r="B325" s="43">
        <f>Daftar!B325</f>
        <v>0</v>
      </c>
      <c r="C325" s="43">
        <f>Daftar!C325</f>
        <v>0</v>
      </c>
      <c r="D325" s="43">
        <f>Daftar!D325</f>
        <v>0</v>
      </c>
      <c r="E325" s="43">
        <f>Daftar!E325</f>
        <v>0</v>
      </c>
    </row>
    <row r="326" spans="2:5" x14ac:dyDescent="0.25">
      <c r="B326" s="43">
        <f>Daftar!B326</f>
        <v>0</v>
      </c>
      <c r="C326" s="43">
        <f>Daftar!C326</f>
        <v>0</v>
      </c>
      <c r="D326" s="43">
        <f>Daftar!D326</f>
        <v>0</v>
      </c>
      <c r="E326" s="43">
        <f>Daftar!E326</f>
        <v>0</v>
      </c>
    </row>
    <row r="327" spans="2:5" x14ac:dyDescent="0.25">
      <c r="B327" s="43">
        <f>Daftar!B327</f>
        <v>0</v>
      </c>
      <c r="C327" s="43">
        <f>Daftar!C327</f>
        <v>0</v>
      </c>
      <c r="D327" s="43">
        <f>Daftar!D327</f>
        <v>0</v>
      </c>
      <c r="E327" s="43">
        <f>Daftar!E327</f>
        <v>0</v>
      </c>
    </row>
    <row r="328" spans="2:5" x14ac:dyDescent="0.25">
      <c r="B328" s="43">
        <f>Daftar!B328</f>
        <v>0</v>
      </c>
      <c r="C328" s="43">
        <f>Daftar!C328</f>
        <v>0</v>
      </c>
      <c r="D328" s="43">
        <f>Daftar!D328</f>
        <v>0</v>
      </c>
      <c r="E328" s="43">
        <f>Daftar!E328</f>
        <v>0</v>
      </c>
    </row>
    <row r="329" spans="2:5" x14ac:dyDescent="0.25">
      <c r="B329" s="43">
        <f>Daftar!B329</f>
        <v>0</v>
      </c>
      <c r="C329" s="43">
        <f>Daftar!C329</f>
        <v>0</v>
      </c>
      <c r="D329" s="43">
        <f>Daftar!D329</f>
        <v>0</v>
      </c>
      <c r="E329" s="43">
        <f>Daftar!E329</f>
        <v>0</v>
      </c>
    </row>
    <row r="330" spans="2:5" x14ac:dyDescent="0.25">
      <c r="B330" s="43">
        <f>Daftar!B330</f>
        <v>0</v>
      </c>
      <c r="C330" s="43">
        <f>Daftar!C330</f>
        <v>0</v>
      </c>
      <c r="D330" s="43">
        <f>Daftar!D330</f>
        <v>0</v>
      </c>
      <c r="E330" s="43">
        <f>Daftar!E330</f>
        <v>0</v>
      </c>
    </row>
    <row r="331" spans="2:5" x14ac:dyDescent="0.25">
      <c r="B331" s="43">
        <f>Daftar!B331</f>
        <v>0</v>
      </c>
      <c r="C331" s="43">
        <f>Daftar!C331</f>
        <v>0</v>
      </c>
      <c r="D331" s="43">
        <f>Daftar!D331</f>
        <v>0</v>
      </c>
      <c r="E331" s="43">
        <f>Daftar!E331</f>
        <v>0</v>
      </c>
    </row>
    <row r="332" spans="2:5" x14ac:dyDescent="0.25">
      <c r="B332" s="43">
        <f>Daftar!B332</f>
        <v>0</v>
      </c>
      <c r="C332" s="43">
        <f>Daftar!C332</f>
        <v>0</v>
      </c>
      <c r="D332" s="43">
        <f>Daftar!D332</f>
        <v>0</v>
      </c>
      <c r="E332" s="43">
        <f>Daftar!E332</f>
        <v>0</v>
      </c>
    </row>
    <row r="333" spans="2:5" x14ac:dyDescent="0.25">
      <c r="B333" s="43">
        <f>Daftar!B333</f>
        <v>0</v>
      </c>
      <c r="C333" s="43">
        <f>Daftar!C333</f>
        <v>0</v>
      </c>
      <c r="D333" s="43">
        <f>Daftar!D333</f>
        <v>0</v>
      </c>
      <c r="E333" s="43">
        <f>Daftar!E333</f>
        <v>0</v>
      </c>
    </row>
    <row r="334" spans="2:5" x14ac:dyDescent="0.25">
      <c r="B334" s="43">
        <f>Daftar!B334</f>
        <v>0</v>
      </c>
      <c r="C334" s="43">
        <f>Daftar!C334</f>
        <v>0</v>
      </c>
      <c r="D334" s="43">
        <f>Daftar!D334</f>
        <v>0</v>
      </c>
      <c r="E334" s="43">
        <f>Daftar!E334</f>
        <v>0</v>
      </c>
    </row>
    <row r="335" spans="2:5" x14ac:dyDescent="0.25">
      <c r="B335" s="43">
        <f>Daftar!B335</f>
        <v>0</v>
      </c>
      <c r="C335" s="43">
        <f>Daftar!C335</f>
        <v>0</v>
      </c>
      <c r="D335" s="43">
        <f>Daftar!D335</f>
        <v>0</v>
      </c>
      <c r="E335" s="43">
        <f>Daftar!E335</f>
        <v>0</v>
      </c>
    </row>
    <row r="336" spans="2:5" x14ac:dyDescent="0.25">
      <c r="B336" s="43">
        <f>Daftar!B336</f>
        <v>0</v>
      </c>
      <c r="C336" s="43">
        <f>Daftar!C336</f>
        <v>0</v>
      </c>
      <c r="D336" s="43">
        <f>Daftar!D336</f>
        <v>0</v>
      </c>
      <c r="E336" s="43">
        <f>Daftar!E336</f>
        <v>0</v>
      </c>
    </row>
    <row r="337" spans="2:5" x14ac:dyDescent="0.25">
      <c r="B337" s="43">
        <f>Daftar!B337</f>
        <v>0</v>
      </c>
      <c r="C337" s="43">
        <f>Daftar!C337</f>
        <v>0</v>
      </c>
      <c r="D337" s="43">
        <f>Daftar!D337</f>
        <v>0</v>
      </c>
      <c r="E337" s="43">
        <f>Daftar!E337</f>
        <v>0</v>
      </c>
    </row>
    <row r="338" spans="2:5" x14ac:dyDescent="0.25">
      <c r="B338" s="43">
        <f>Daftar!B338</f>
        <v>0</v>
      </c>
      <c r="C338" s="43">
        <f>Daftar!C338</f>
        <v>0</v>
      </c>
      <c r="D338" s="43">
        <f>Daftar!D338</f>
        <v>0</v>
      </c>
      <c r="E338" s="43">
        <f>Daftar!E338</f>
        <v>0</v>
      </c>
    </row>
    <row r="339" spans="2:5" x14ac:dyDescent="0.25">
      <c r="B339" s="43">
        <f>Daftar!B339</f>
        <v>0</v>
      </c>
      <c r="C339" s="43">
        <f>Daftar!C339</f>
        <v>0</v>
      </c>
      <c r="D339" s="43">
        <f>Daftar!D339</f>
        <v>0</v>
      </c>
      <c r="E339" s="43">
        <f>Daftar!E339</f>
        <v>0</v>
      </c>
    </row>
    <row r="340" spans="2:5" x14ac:dyDescent="0.25">
      <c r="B340" s="43">
        <f>Daftar!B340</f>
        <v>0</v>
      </c>
      <c r="C340" s="43">
        <f>Daftar!C340</f>
        <v>0</v>
      </c>
      <c r="D340" s="43">
        <f>Daftar!D340</f>
        <v>0</v>
      </c>
      <c r="E340" s="43">
        <f>Daftar!E340</f>
        <v>0</v>
      </c>
    </row>
    <row r="341" spans="2:5" x14ac:dyDescent="0.25">
      <c r="B341" s="43">
        <f>Daftar!B341</f>
        <v>0</v>
      </c>
      <c r="C341" s="43">
        <f>Daftar!C341</f>
        <v>0</v>
      </c>
      <c r="D341" s="43">
        <f>Daftar!D341</f>
        <v>0</v>
      </c>
      <c r="E341" s="43">
        <f>Daftar!E341</f>
        <v>0</v>
      </c>
    </row>
    <row r="342" spans="2:5" x14ac:dyDescent="0.25">
      <c r="B342" s="43">
        <f>Daftar!B342</f>
        <v>0</v>
      </c>
      <c r="C342" s="43">
        <f>Daftar!C342</f>
        <v>0</v>
      </c>
      <c r="D342" s="43">
        <f>Daftar!D342</f>
        <v>0</v>
      </c>
      <c r="E342" s="43">
        <f>Daftar!E342</f>
        <v>0</v>
      </c>
    </row>
    <row r="343" spans="2:5" x14ac:dyDescent="0.25">
      <c r="B343" s="43">
        <f>Daftar!B343</f>
        <v>0</v>
      </c>
      <c r="C343" s="43">
        <f>Daftar!C343</f>
        <v>0</v>
      </c>
      <c r="D343" s="43">
        <f>Daftar!D343</f>
        <v>0</v>
      </c>
      <c r="E343" s="43">
        <f>Daftar!E343</f>
        <v>0</v>
      </c>
    </row>
    <row r="344" spans="2:5" x14ac:dyDescent="0.25">
      <c r="B344" s="43">
        <f>Daftar!B344</f>
        <v>0</v>
      </c>
      <c r="C344" s="43">
        <f>Daftar!C344</f>
        <v>0</v>
      </c>
      <c r="D344" s="43">
        <f>Daftar!D344</f>
        <v>0</v>
      </c>
      <c r="E344" s="43">
        <f>Daftar!E344</f>
        <v>0</v>
      </c>
    </row>
    <row r="345" spans="2:5" x14ac:dyDescent="0.25">
      <c r="B345" s="43">
        <f>Daftar!B345</f>
        <v>0</v>
      </c>
      <c r="C345" s="43">
        <f>Daftar!C345</f>
        <v>0</v>
      </c>
      <c r="D345" s="43">
        <f>Daftar!D345</f>
        <v>0</v>
      </c>
      <c r="E345" s="43">
        <f>Daftar!E345</f>
        <v>0</v>
      </c>
    </row>
    <row r="346" spans="2:5" x14ac:dyDescent="0.25">
      <c r="B346" s="43">
        <f>Daftar!B346</f>
        <v>0</v>
      </c>
      <c r="C346" s="43">
        <f>Daftar!C346</f>
        <v>0</v>
      </c>
      <c r="D346" s="43">
        <f>Daftar!D346</f>
        <v>0</v>
      </c>
      <c r="E346" s="43">
        <f>Daftar!E346</f>
        <v>0</v>
      </c>
    </row>
    <row r="347" spans="2:5" x14ac:dyDescent="0.25">
      <c r="B347" s="43">
        <f>Daftar!B347</f>
        <v>0</v>
      </c>
      <c r="C347" s="43">
        <f>Daftar!C347</f>
        <v>0</v>
      </c>
      <c r="D347" s="43">
        <f>Daftar!D347</f>
        <v>0</v>
      </c>
      <c r="E347" s="43">
        <f>Daftar!E347</f>
        <v>0</v>
      </c>
    </row>
    <row r="348" spans="2:5" x14ac:dyDescent="0.25">
      <c r="B348" s="43">
        <f>Daftar!B348</f>
        <v>0</v>
      </c>
      <c r="C348" s="43">
        <f>Daftar!C348</f>
        <v>0</v>
      </c>
      <c r="D348" s="43">
        <f>Daftar!D348</f>
        <v>0</v>
      </c>
      <c r="E348" s="43">
        <f>Daftar!E348</f>
        <v>0</v>
      </c>
    </row>
    <row r="349" spans="2:5" x14ac:dyDescent="0.25">
      <c r="B349" s="43">
        <f>Daftar!B349</f>
        <v>0</v>
      </c>
      <c r="C349" s="43">
        <f>Daftar!C349</f>
        <v>0</v>
      </c>
      <c r="D349" s="43">
        <f>Daftar!D349</f>
        <v>0</v>
      </c>
      <c r="E349" s="43">
        <f>Daftar!E349</f>
        <v>0</v>
      </c>
    </row>
    <row r="350" spans="2:5" x14ac:dyDescent="0.25">
      <c r="B350" s="43">
        <f>Daftar!B350</f>
        <v>0</v>
      </c>
      <c r="C350" s="43">
        <f>Daftar!C350</f>
        <v>0</v>
      </c>
      <c r="D350" s="43">
        <f>Daftar!D350</f>
        <v>0</v>
      </c>
      <c r="E350" s="43">
        <f>Daftar!E350</f>
        <v>0</v>
      </c>
    </row>
    <row r="351" spans="2:5" x14ac:dyDescent="0.25">
      <c r="B351" s="43">
        <f>Daftar!B351</f>
        <v>0</v>
      </c>
      <c r="C351" s="43">
        <f>Daftar!C351</f>
        <v>0</v>
      </c>
      <c r="D351" s="43">
        <f>Daftar!D351</f>
        <v>0</v>
      </c>
      <c r="E351" s="43">
        <f>Daftar!E351</f>
        <v>0</v>
      </c>
    </row>
    <row r="352" spans="2:5" x14ac:dyDescent="0.25">
      <c r="B352" s="43">
        <f>Daftar!B352</f>
        <v>0</v>
      </c>
      <c r="C352" s="43">
        <f>Daftar!C352</f>
        <v>0</v>
      </c>
      <c r="D352" s="43">
        <f>Daftar!D352</f>
        <v>0</v>
      </c>
      <c r="E352" s="43">
        <f>Daftar!E352</f>
        <v>0</v>
      </c>
    </row>
    <row r="353" spans="2:5" x14ac:dyDescent="0.25">
      <c r="B353" s="43">
        <f>Daftar!B353</f>
        <v>0</v>
      </c>
      <c r="C353" s="43">
        <f>Daftar!C353</f>
        <v>0</v>
      </c>
      <c r="D353" s="43">
        <f>Daftar!D353</f>
        <v>0</v>
      </c>
      <c r="E353" s="43">
        <f>Daftar!E353</f>
        <v>0</v>
      </c>
    </row>
    <row r="354" spans="2:5" x14ac:dyDescent="0.25">
      <c r="B354" s="43">
        <f>Daftar!B354</f>
        <v>0</v>
      </c>
      <c r="C354" s="43">
        <f>Daftar!C354</f>
        <v>0</v>
      </c>
      <c r="D354" s="43">
        <f>Daftar!D354</f>
        <v>0</v>
      </c>
      <c r="E354" s="43">
        <f>Daftar!E354</f>
        <v>0</v>
      </c>
    </row>
    <row r="355" spans="2:5" x14ac:dyDescent="0.25">
      <c r="B355" s="43">
        <f>Daftar!B355</f>
        <v>0</v>
      </c>
      <c r="C355" s="43">
        <f>Daftar!C355</f>
        <v>0</v>
      </c>
      <c r="D355" s="43">
        <f>Daftar!D355</f>
        <v>0</v>
      </c>
      <c r="E355" s="43">
        <f>Daftar!E355</f>
        <v>0</v>
      </c>
    </row>
    <row r="356" spans="2:5" x14ac:dyDescent="0.25">
      <c r="B356" s="43">
        <f>Daftar!B356</f>
        <v>0</v>
      </c>
      <c r="C356" s="43">
        <f>Daftar!C356</f>
        <v>0</v>
      </c>
      <c r="D356" s="43">
        <f>Daftar!D356</f>
        <v>0</v>
      </c>
      <c r="E356" s="43">
        <f>Daftar!E356</f>
        <v>0</v>
      </c>
    </row>
    <row r="357" spans="2:5" x14ac:dyDescent="0.25">
      <c r="B357" s="43">
        <f>Daftar!B357</f>
        <v>0</v>
      </c>
      <c r="C357" s="43">
        <f>Daftar!C357</f>
        <v>0</v>
      </c>
      <c r="D357" s="43">
        <f>Daftar!D357</f>
        <v>0</v>
      </c>
      <c r="E357" s="43">
        <f>Daftar!E357</f>
        <v>0</v>
      </c>
    </row>
    <row r="358" spans="2:5" x14ac:dyDescent="0.25">
      <c r="B358" s="43">
        <f>Daftar!B358</f>
        <v>0</v>
      </c>
      <c r="C358" s="43">
        <f>Daftar!C358</f>
        <v>0</v>
      </c>
      <c r="D358" s="43">
        <f>Daftar!D358</f>
        <v>0</v>
      </c>
      <c r="E358" s="43">
        <f>Daftar!E358</f>
        <v>0</v>
      </c>
    </row>
    <row r="359" spans="2:5" x14ac:dyDescent="0.25">
      <c r="B359" s="43">
        <f>Daftar!B359</f>
        <v>0</v>
      </c>
      <c r="C359" s="43">
        <f>Daftar!C359</f>
        <v>0</v>
      </c>
      <c r="D359" s="43">
        <f>Daftar!D359</f>
        <v>0</v>
      </c>
      <c r="E359" s="43">
        <f>Daftar!E359</f>
        <v>0</v>
      </c>
    </row>
    <row r="360" spans="2:5" x14ac:dyDescent="0.25">
      <c r="B360" s="43">
        <f>Daftar!B360</f>
        <v>0</v>
      </c>
      <c r="C360" s="43">
        <f>Daftar!C360</f>
        <v>0</v>
      </c>
      <c r="D360" s="43">
        <f>Daftar!D360</f>
        <v>0</v>
      </c>
      <c r="E360" s="43">
        <f>Daftar!E360</f>
        <v>0</v>
      </c>
    </row>
    <row r="361" spans="2:5" x14ac:dyDescent="0.25">
      <c r="B361" s="43">
        <f>Daftar!B361</f>
        <v>0</v>
      </c>
      <c r="C361" s="43">
        <f>Daftar!C361</f>
        <v>0</v>
      </c>
      <c r="D361" s="43">
        <f>Daftar!D361</f>
        <v>0</v>
      </c>
      <c r="E361" s="43">
        <f>Daftar!E361</f>
        <v>0</v>
      </c>
    </row>
    <row r="362" spans="2:5" x14ac:dyDescent="0.25">
      <c r="B362" s="43">
        <f>Daftar!B362</f>
        <v>0</v>
      </c>
      <c r="C362" s="43">
        <f>Daftar!C362</f>
        <v>0</v>
      </c>
      <c r="D362" s="43">
        <f>Daftar!D362</f>
        <v>0</v>
      </c>
      <c r="E362" s="43">
        <f>Daftar!E362</f>
        <v>0</v>
      </c>
    </row>
    <row r="363" spans="2:5" x14ac:dyDescent="0.25">
      <c r="B363" s="43">
        <f>Daftar!B363</f>
        <v>0</v>
      </c>
      <c r="C363" s="43">
        <f>Daftar!C363</f>
        <v>0</v>
      </c>
      <c r="D363" s="43">
        <f>Daftar!D363</f>
        <v>0</v>
      </c>
      <c r="E363" s="43">
        <f>Daftar!E363</f>
        <v>0</v>
      </c>
    </row>
    <row r="364" spans="2:5" x14ac:dyDescent="0.25">
      <c r="B364" s="43">
        <f>Daftar!B364</f>
        <v>0</v>
      </c>
      <c r="C364" s="43">
        <f>Daftar!C364</f>
        <v>0</v>
      </c>
      <c r="D364" s="43">
        <f>Daftar!D364</f>
        <v>0</v>
      </c>
      <c r="E364" s="43">
        <f>Daftar!E364</f>
        <v>0</v>
      </c>
    </row>
    <row r="365" spans="2:5" x14ac:dyDescent="0.25">
      <c r="B365" s="43">
        <f>Daftar!B365</f>
        <v>0</v>
      </c>
      <c r="C365" s="43">
        <f>Daftar!C365</f>
        <v>0</v>
      </c>
      <c r="D365" s="43">
        <f>Daftar!D365</f>
        <v>0</v>
      </c>
      <c r="E365" s="43">
        <f>Daftar!E365</f>
        <v>0</v>
      </c>
    </row>
    <row r="366" spans="2:5" x14ac:dyDescent="0.25">
      <c r="B366" s="43">
        <f>Daftar!B366</f>
        <v>0</v>
      </c>
      <c r="C366" s="43">
        <f>Daftar!C366</f>
        <v>0</v>
      </c>
      <c r="D366" s="43">
        <f>Daftar!D366</f>
        <v>0</v>
      </c>
      <c r="E366" s="43">
        <f>Daftar!E366</f>
        <v>0</v>
      </c>
    </row>
    <row r="367" spans="2:5" x14ac:dyDescent="0.25">
      <c r="B367" s="43">
        <f>Daftar!B367</f>
        <v>0</v>
      </c>
      <c r="C367" s="43">
        <f>Daftar!C367</f>
        <v>0</v>
      </c>
      <c r="D367" s="43">
        <f>Daftar!D367</f>
        <v>0</v>
      </c>
      <c r="E367" s="43">
        <f>Daftar!E367</f>
        <v>0</v>
      </c>
    </row>
    <row r="368" spans="2:5" x14ac:dyDescent="0.25">
      <c r="B368" s="43">
        <f>Daftar!B368</f>
        <v>0</v>
      </c>
      <c r="C368" s="43">
        <f>Daftar!C368</f>
        <v>0</v>
      </c>
      <c r="D368" s="43">
        <f>Daftar!D368</f>
        <v>0</v>
      </c>
      <c r="E368" s="43">
        <f>Daftar!E368</f>
        <v>0</v>
      </c>
    </row>
    <row r="369" spans="2:5" x14ac:dyDescent="0.25">
      <c r="B369" s="43">
        <f>Daftar!B369</f>
        <v>0</v>
      </c>
      <c r="C369" s="43">
        <f>Daftar!C369</f>
        <v>0</v>
      </c>
      <c r="D369" s="43">
        <f>Daftar!D369</f>
        <v>0</v>
      </c>
      <c r="E369" s="43">
        <f>Daftar!E369</f>
        <v>0</v>
      </c>
    </row>
    <row r="370" spans="2:5" x14ac:dyDescent="0.25">
      <c r="B370" s="43">
        <f>Daftar!B370</f>
        <v>0</v>
      </c>
      <c r="C370" s="43">
        <f>Daftar!C370</f>
        <v>0</v>
      </c>
      <c r="D370" s="43">
        <f>Daftar!D370</f>
        <v>0</v>
      </c>
      <c r="E370" s="43">
        <f>Daftar!E370</f>
        <v>0</v>
      </c>
    </row>
    <row r="371" spans="2:5" x14ac:dyDescent="0.25">
      <c r="B371" s="43">
        <f>Daftar!B371</f>
        <v>0</v>
      </c>
      <c r="C371" s="43">
        <f>Daftar!C371</f>
        <v>0</v>
      </c>
      <c r="D371" s="43">
        <f>Daftar!D371</f>
        <v>0</v>
      </c>
      <c r="E371" s="43">
        <f>Daftar!E371</f>
        <v>0</v>
      </c>
    </row>
    <row r="372" spans="2:5" x14ac:dyDescent="0.25">
      <c r="B372" s="43">
        <f>Daftar!B372</f>
        <v>0</v>
      </c>
      <c r="C372" s="43">
        <f>Daftar!C372</f>
        <v>0</v>
      </c>
      <c r="D372" s="43">
        <f>Daftar!D372</f>
        <v>0</v>
      </c>
      <c r="E372" s="43">
        <f>Daftar!E372</f>
        <v>0</v>
      </c>
    </row>
    <row r="373" spans="2:5" x14ac:dyDescent="0.25">
      <c r="B373" s="43">
        <f>Daftar!B373</f>
        <v>0</v>
      </c>
      <c r="C373" s="43">
        <f>Daftar!C373</f>
        <v>0</v>
      </c>
      <c r="D373" s="43">
        <f>Daftar!D373</f>
        <v>0</v>
      </c>
      <c r="E373" s="43">
        <f>Daftar!E373</f>
        <v>0</v>
      </c>
    </row>
    <row r="374" spans="2:5" x14ac:dyDescent="0.25">
      <c r="B374" s="43">
        <f>Daftar!B374</f>
        <v>0</v>
      </c>
      <c r="C374" s="43">
        <f>Daftar!C374</f>
        <v>0</v>
      </c>
      <c r="D374" s="43">
        <f>Daftar!D374</f>
        <v>0</v>
      </c>
      <c r="E374" s="43">
        <f>Daftar!E374</f>
        <v>0</v>
      </c>
    </row>
    <row r="375" spans="2:5" x14ac:dyDescent="0.25">
      <c r="B375" s="43">
        <f>Daftar!B375</f>
        <v>0</v>
      </c>
      <c r="C375" s="43">
        <f>Daftar!C375</f>
        <v>0</v>
      </c>
      <c r="D375" s="43">
        <f>Daftar!D375</f>
        <v>0</v>
      </c>
      <c r="E375" s="43">
        <f>Daftar!E375</f>
        <v>0</v>
      </c>
    </row>
    <row r="376" spans="2:5" x14ac:dyDescent="0.25">
      <c r="B376" s="43">
        <f>Daftar!B376</f>
        <v>0</v>
      </c>
      <c r="C376" s="43">
        <f>Daftar!C376</f>
        <v>0</v>
      </c>
      <c r="D376" s="43">
        <f>Daftar!D376</f>
        <v>0</v>
      </c>
      <c r="E376" s="43">
        <f>Daftar!E376</f>
        <v>0</v>
      </c>
    </row>
    <row r="377" spans="2:5" x14ac:dyDescent="0.25">
      <c r="B377" s="43">
        <f>Daftar!B377</f>
        <v>0</v>
      </c>
      <c r="C377" s="43">
        <f>Daftar!C377</f>
        <v>0</v>
      </c>
      <c r="D377" s="43">
        <f>Daftar!D377</f>
        <v>0</v>
      </c>
      <c r="E377" s="43">
        <f>Daftar!E377</f>
        <v>0</v>
      </c>
    </row>
    <row r="378" spans="2:5" x14ac:dyDescent="0.25">
      <c r="B378" s="43">
        <f>Daftar!B378</f>
        <v>0</v>
      </c>
      <c r="C378" s="43">
        <f>Daftar!C378</f>
        <v>0</v>
      </c>
      <c r="D378" s="43">
        <f>Daftar!D378</f>
        <v>0</v>
      </c>
      <c r="E378" s="43">
        <f>Daftar!E378</f>
        <v>0</v>
      </c>
    </row>
    <row r="379" spans="2:5" x14ac:dyDescent="0.25">
      <c r="B379" s="43">
        <f>Daftar!B379</f>
        <v>0</v>
      </c>
      <c r="C379" s="43">
        <f>Daftar!C379</f>
        <v>0</v>
      </c>
      <c r="D379" s="43">
        <f>Daftar!D379</f>
        <v>0</v>
      </c>
      <c r="E379" s="43">
        <f>Daftar!E379</f>
        <v>0</v>
      </c>
    </row>
    <row r="380" spans="2:5" x14ac:dyDescent="0.25">
      <c r="B380" s="43">
        <f>Daftar!B380</f>
        <v>0</v>
      </c>
      <c r="C380" s="43">
        <f>Daftar!C380</f>
        <v>0</v>
      </c>
      <c r="D380" s="43">
        <f>Daftar!D380</f>
        <v>0</v>
      </c>
      <c r="E380" s="43">
        <f>Daftar!E380</f>
        <v>0</v>
      </c>
    </row>
    <row r="381" spans="2:5" x14ac:dyDescent="0.25">
      <c r="B381" s="43">
        <f>Daftar!B381</f>
        <v>0</v>
      </c>
      <c r="C381" s="43">
        <f>Daftar!C381</f>
        <v>0</v>
      </c>
      <c r="D381" s="43">
        <f>Daftar!D381</f>
        <v>0</v>
      </c>
      <c r="E381" s="43">
        <f>Daftar!E381</f>
        <v>0</v>
      </c>
    </row>
    <row r="382" spans="2:5" x14ac:dyDescent="0.25">
      <c r="B382" s="43">
        <f>Daftar!B382</f>
        <v>0</v>
      </c>
      <c r="C382" s="43">
        <f>Daftar!C382</f>
        <v>0</v>
      </c>
      <c r="D382" s="43">
        <f>Daftar!D382</f>
        <v>0</v>
      </c>
      <c r="E382" s="43">
        <f>Daftar!E382</f>
        <v>0</v>
      </c>
    </row>
    <row r="383" spans="2:5" x14ac:dyDescent="0.25">
      <c r="B383" s="43">
        <f>Daftar!B383</f>
        <v>0</v>
      </c>
      <c r="C383" s="43">
        <f>Daftar!C383</f>
        <v>0</v>
      </c>
      <c r="D383" s="43">
        <f>Daftar!D383</f>
        <v>0</v>
      </c>
      <c r="E383" s="43">
        <f>Daftar!E383</f>
        <v>0</v>
      </c>
    </row>
    <row r="384" spans="2:5" x14ac:dyDescent="0.25">
      <c r="B384" s="43">
        <f>Daftar!B384</f>
        <v>0</v>
      </c>
      <c r="C384" s="43">
        <f>Daftar!C384</f>
        <v>0</v>
      </c>
      <c r="D384" s="43">
        <f>Daftar!D384</f>
        <v>0</v>
      </c>
      <c r="E384" s="43">
        <f>Daftar!E384</f>
        <v>0</v>
      </c>
    </row>
    <row r="385" spans="2:5" x14ac:dyDescent="0.25">
      <c r="B385" s="43">
        <f>Daftar!B385</f>
        <v>0</v>
      </c>
      <c r="C385" s="43">
        <f>Daftar!C385</f>
        <v>0</v>
      </c>
      <c r="D385" s="43">
        <f>Daftar!D385</f>
        <v>0</v>
      </c>
      <c r="E385" s="43">
        <f>Daftar!E385</f>
        <v>0</v>
      </c>
    </row>
    <row r="386" spans="2:5" x14ac:dyDescent="0.25">
      <c r="B386" s="43">
        <f>Daftar!B386</f>
        <v>0</v>
      </c>
      <c r="C386" s="43">
        <f>Daftar!C386</f>
        <v>0</v>
      </c>
      <c r="D386" s="43">
        <f>Daftar!D386</f>
        <v>0</v>
      </c>
      <c r="E386" s="43">
        <f>Daftar!E386</f>
        <v>0</v>
      </c>
    </row>
    <row r="387" spans="2:5" x14ac:dyDescent="0.25">
      <c r="B387" s="43">
        <f>Daftar!B387</f>
        <v>0</v>
      </c>
      <c r="C387" s="43">
        <f>Daftar!C387</f>
        <v>0</v>
      </c>
      <c r="D387" s="43">
        <f>Daftar!D387</f>
        <v>0</v>
      </c>
      <c r="E387" s="43">
        <f>Daftar!E387</f>
        <v>0</v>
      </c>
    </row>
    <row r="388" spans="2:5" x14ac:dyDescent="0.25">
      <c r="B388" s="43">
        <f>Daftar!B388</f>
        <v>0</v>
      </c>
      <c r="C388" s="43">
        <f>Daftar!C388</f>
        <v>0</v>
      </c>
      <c r="D388" s="43">
        <f>Daftar!D388</f>
        <v>0</v>
      </c>
      <c r="E388" s="43">
        <f>Daftar!E388</f>
        <v>0</v>
      </c>
    </row>
    <row r="389" spans="2:5" x14ac:dyDescent="0.25">
      <c r="B389" s="43">
        <f>Daftar!B389</f>
        <v>0</v>
      </c>
      <c r="C389" s="43">
        <f>Daftar!C389</f>
        <v>0</v>
      </c>
      <c r="D389" s="43">
        <f>Daftar!D389</f>
        <v>0</v>
      </c>
      <c r="E389" s="43">
        <f>Daftar!E389</f>
        <v>0</v>
      </c>
    </row>
    <row r="390" spans="2:5" x14ac:dyDescent="0.25">
      <c r="B390" s="43">
        <f>Daftar!B390</f>
        <v>0</v>
      </c>
      <c r="C390" s="43">
        <f>Daftar!C390</f>
        <v>0</v>
      </c>
      <c r="D390" s="43">
        <f>Daftar!D390</f>
        <v>0</v>
      </c>
      <c r="E390" s="43">
        <f>Daftar!E390</f>
        <v>0</v>
      </c>
    </row>
    <row r="391" spans="2:5" x14ac:dyDescent="0.25">
      <c r="B391" s="43">
        <f>Daftar!B391</f>
        <v>0</v>
      </c>
      <c r="C391" s="43">
        <f>Daftar!C391</f>
        <v>0</v>
      </c>
      <c r="D391" s="43">
        <f>Daftar!D391</f>
        <v>0</v>
      </c>
      <c r="E391" s="43">
        <f>Daftar!E391</f>
        <v>0</v>
      </c>
    </row>
    <row r="392" spans="2:5" x14ac:dyDescent="0.25">
      <c r="B392" s="43">
        <f>Daftar!B392</f>
        <v>0</v>
      </c>
      <c r="C392" s="43">
        <f>Daftar!C392</f>
        <v>0</v>
      </c>
      <c r="D392" s="43">
        <f>Daftar!D392</f>
        <v>0</v>
      </c>
      <c r="E392" s="43">
        <f>Daftar!E392</f>
        <v>0</v>
      </c>
    </row>
    <row r="393" spans="2:5" x14ac:dyDescent="0.25">
      <c r="B393" s="43">
        <f>Daftar!B393</f>
        <v>0</v>
      </c>
      <c r="C393" s="43">
        <f>Daftar!C393</f>
        <v>0</v>
      </c>
      <c r="D393" s="43">
        <f>Daftar!D393</f>
        <v>0</v>
      </c>
      <c r="E393" s="43">
        <f>Daftar!E393</f>
        <v>0</v>
      </c>
    </row>
    <row r="394" spans="2:5" x14ac:dyDescent="0.25">
      <c r="B394" s="43">
        <f>Daftar!B394</f>
        <v>0</v>
      </c>
      <c r="C394" s="43">
        <f>Daftar!C394</f>
        <v>0</v>
      </c>
      <c r="D394" s="43">
        <f>Daftar!D394</f>
        <v>0</v>
      </c>
      <c r="E394" s="43">
        <f>Daftar!E394</f>
        <v>0</v>
      </c>
    </row>
    <row r="395" spans="2:5" x14ac:dyDescent="0.25">
      <c r="B395" s="43">
        <f>Daftar!B395</f>
        <v>0</v>
      </c>
      <c r="C395" s="43">
        <f>Daftar!C395</f>
        <v>0</v>
      </c>
      <c r="D395" s="43">
        <f>Daftar!D395</f>
        <v>0</v>
      </c>
      <c r="E395" s="43">
        <f>Daftar!E395</f>
        <v>0</v>
      </c>
    </row>
    <row r="396" spans="2:5" x14ac:dyDescent="0.25">
      <c r="B396" s="43">
        <f>Daftar!B396</f>
        <v>0</v>
      </c>
      <c r="C396" s="43">
        <f>Daftar!C396</f>
        <v>0</v>
      </c>
      <c r="D396" s="43">
        <f>Daftar!D396</f>
        <v>0</v>
      </c>
      <c r="E396" s="43">
        <f>Daftar!E396</f>
        <v>0</v>
      </c>
    </row>
    <row r="397" spans="2:5" x14ac:dyDescent="0.25">
      <c r="B397" s="43">
        <f>Daftar!B397</f>
        <v>0</v>
      </c>
      <c r="C397" s="43">
        <f>Daftar!C397</f>
        <v>0</v>
      </c>
      <c r="D397" s="43">
        <f>Daftar!D397</f>
        <v>0</v>
      </c>
      <c r="E397" s="43">
        <f>Daftar!E397</f>
        <v>0</v>
      </c>
    </row>
    <row r="398" spans="2:5" x14ac:dyDescent="0.25">
      <c r="B398" s="43">
        <f>Daftar!B398</f>
        <v>0</v>
      </c>
      <c r="C398" s="43">
        <f>Daftar!C398</f>
        <v>0</v>
      </c>
      <c r="D398" s="43">
        <f>Daftar!D398</f>
        <v>0</v>
      </c>
      <c r="E398" s="43">
        <f>Daftar!E398</f>
        <v>0</v>
      </c>
    </row>
    <row r="399" spans="2:5" x14ac:dyDescent="0.25">
      <c r="B399" s="43">
        <f>Daftar!B399</f>
        <v>0</v>
      </c>
      <c r="C399" s="43">
        <f>Daftar!C399</f>
        <v>0</v>
      </c>
      <c r="D399" s="43">
        <f>Daftar!D399</f>
        <v>0</v>
      </c>
      <c r="E399" s="43">
        <f>Daftar!E399</f>
        <v>0</v>
      </c>
    </row>
    <row r="400" spans="2:5" x14ac:dyDescent="0.25">
      <c r="B400" s="43">
        <f>Daftar!B400</f>
        <v>0</v>
      </c>
      <c r="C400" s="43">
        <f>Daftar!C400</f>
        <v>0</v>
      </c>
      <c r="D400" s="43">
        <f>Daftar!D400</f>
        <v>0</v>
      </c>
      <c r="E400" s="43">
        <f>Daftar!E400</f>
        <v>0</v>
      </c>
    </row>
    <row r="401" spans="2:5" x14ac:dyDescent="0.25">
      <c r="B401" s="43">
        <f>Daftar!B401</f>
        <v>0</v>
      </c>
      <c r="C401" s="43">
        <f>Daftar!C401</f>
        <v>0</v>
      </c>
      <c r="D401" s="43">
        <f>Daftar!D401</f>
        <v>0</v>
      </c>
      <c r="E401" s="43">
        <f>Daftar!E401</f>
        <v>0</v>
      </c>
    </row>
    <row r="402" spans="2:5" x14ac:dyDescent="0.25">
      <c r="B402" s="43">
        <f>Daftar!B402</f>
        <v>0</v>
      </c>
      <c r="C402" s="43">
        <f>Daftar!C402</f>
        <v>0</v>
      </c>
      <c r="D402" s="43">
        <f>Daftar!D402</f>
        <v>0</v>
      </c>
      <c r="E402" s="43">
        <f>Daftar!E402</f>
        <v>0</v>
      </c>
    </row>
    <row r="403" spans="2:5" x14ac:dyDescent="0.25">
      <c r="B403" s="43">
        <f>Daftar!B403</f>
        <v>0</v>
      </c>
      <c r="C403" s="43">
        <f>Daftar!C403</f>
        <v>0</v>
      </c>
      <c r="D403" s="43">
        <f>Daftar!D403</f>
        <v>0</v>
      </c>
      <c r="E403" s="43">
        <f>Daftar!E403</f>
        <v>0</v>
      </c>
    </row>
    <row r="404" spans="2:5" x14ac:dyDescent="0.25">
      <c r="B404" s="43">
        <f>Daftar!B404</f>
        <v>0</v>
      </c>
      <c r="C404" s="43">
        <f>Daftar!C404</f>
        <v>0</v>
      </c>
      <c r="D404" s="43">
        <f>Daftar!D404</f>
        <v>0</v>
      </c>
      <c r="E404" s="43">
        <f>Daftar!E404</f>
        <v>0</v>
      </c>
    </row>
    <row r="405" spans="2:5" x14ac:dyDescent="0.25">
      <c r="B405" s="43">
        <f>Daftar!B405</f>
        <v>0</v>
      </c>
      <c r="C405" s="43">
        <f>Daftar!C405</f>
        <v>0</v>
      </c>
      <c r="D405" s="43">
        <f>Daftar!D405</f>
        <v>0</v>
      </c>
      <c r="E405" s="43">
        <f>Daftar!E405</f>
        <v>0</v>
      </c>
    </row>
    <row r="406" spans="2:5" x14ac:dyDescent="0.25">
      <c r="B406" s="43">
        <f>Daftar!B406</f>
        <v>0</v>
      </c>
      <c r="C406" s="43">
        <f>Daftar!C406</f>
        <v>0</v>
      </c>
      <c r="D406" s="43">
        <f>Daftar!D406</f>
        <v>0</v>
      </c>
      <c r="E406" s="43">
        <f>Daftar!E406</f>
        <v>0</v>
      </c>
    </row>
    <row r="407" spans="2:5" x14ac:dyDescent="0.25">
      <c r="B407" s="43">
        <f>Daftar!B407</f>
        <v>0</v>
      </c>
      <c r="C407" s="43">
        <f>Daftar!C407</f>
        <v>0</v>
      </c>
      <c r="D407" s="43">
        <f>Daftar!D407</f>
        <v>0</v>
      </c>
      <c r="E407" s="43">
        <f>Daftar!E407</f>
        <v>0</v>
      </c>
    </row>
    <row r="408" spans="2:5" x14ac:dyDescent="0.25">
      <c r="B408" s="43">
        <f>Daftar!B408</f>
        <v>0</v>
      </c>
      <c r="C408" s="43">
        <f>Daftar!C408</f>
        <v>0</v>
      </c>
      <c r="D408" s="43">
        <f>Daftar!D408</f>
        <v>0</v>
      </c>
      <c r="E408" s="43">
        <f>Daftar!E408</f>
        <v>0</v>
      </c>
    </row>
    <row r="409" spans="2:5" x14ac:dyDescent="0.25">
      <c r="B409" s="43">
        <f>Daftar!B409</f>
        <v>0</v>
      </c>
      <c r="C409" s="43">
        <f>Daftar!C409</f>
        <v>0</v>
      </c>
      <c r="D409" s="43">
        <f>Daftar!D409</f>
        <v>0</v>
      </c>
      <c r="E409" s="43">
        <f>Daftar!E409</f>
        <v>0</v>
      </c>
    </row>
    <row r="410" spans="2:5" x14ac:dyDescent="0.25">
      <c r="B410" s="43">
        <f>Daftar!B410</f>
        <v>0</v>
      </c>
      <c r="C410" s="43">
        <f>Daftar!C410</f>
        <v>0</v>
      </c>
      <c r="D410" s="43">
        <f>Daftar!D410</f>
        <v>0</v>
      </c>
      <c r="E410" s="43">
        <f>Daftar!E410</f>
        <v>0</v>
      </c>
    </row>
    <row r="411" spans="2:5" x14ac:dyDescent="0.25">
      <c r="B411" s="43">
        <f>Daftar!B411</f>
        <v>0</v>
      </c>
      <c r="C411" s="43">
        <f>Daftar!C411</f>
        <v>0</v>
      </c>
      <c r="D411" s="43">
        <f>Daftar!D411</f>
        <v>0</v>
      </c>
      <c r="E411" s="43">
        <f>Daftar!E411</f>
        <v>0</v>
      </c>
    </row>
    <row r="412" spans="2:5" x14ac:dyDescent="0.25">
      <c r="B412" s="43">
        <f>Daftar!B412</f>
        <v>0</v>
      </c>
      <c r="C412" s="43">
        <f>Daftar!C412</f>
        <v>0</v>
      </c>
      <c r="D412" s="43">
        <f>Daftar!D412</f>
        <v>0</v>
      </c>
      <c r="E412" s="43">
        <f>Daftar!E412</f>
        <v>0</v>
      </c>
    </row>
    <row r="413" spans="2:5" x14ac:dyDescent="0.25">
      <c r="B413" s="43">
        <f>Daftar!B413</f>
        <v>0</v>
      </c>
      <c r="C413" s="43">
        <f>Daftar!C413</f>
        <v>0</v>
      </c>
      <c r="D413" s="43">
        <f>Daftar!D413</f>
        <v>0</v>
      </c>
      <c r="E413" s="43">
        <f>Daftar!E413</f>
        <v>0</v>
      </c>
    </row>
    <row r="414" spans="2:5" x14ac:dyDescent="0.25">
      <c r="B414" s="43">
        <f>Daftar!B414</f>
        <v>0</v>
      </c>
      <c r="C414" s="43">
        <f>Daftar!C414</f>
        <v>0</v>
      </c>
      <c r="D414" s="43">
        <f>Daftar!D414</f>
        <v>0</v>
      </c>
      <c r="E414" s="43">
        <f>Daftar!E414</f>
        <v>0</v>
      </c>
    </row>
    <row r="415" spans="2:5" x14ac:dyDescent="0.25">
      <c r="B415" s="43">
        <f>Daftar!B415</f>
        <v>0</v>
      </c>
      <c r="C415" s="43">
        <f>Daftar!C415</f>
        <v>0</v>
      </c>
      <c r="D415" s="43">
        <f>Daftar!D415</f>
        <v>0</v>
      </c>
      <c r="E415" s="43">
        <f>Daftar!E415</f>
        <v>0</v>
      </c>
    </row>
    <row r="416" spans="2:5" x14ac:dyDescent="0.25">
      <c r="B416" s="43">
        <f>Daftar!B416</f>
        <v>0</v>
      </c>
      <c r="C416" s="43">
        <f>Daftar!C416</f>
        <v>0</v>
      </c>
      <c r="D416" s="43">
        <f>Daftar!D416</f>
        <v>0</v>
      </c>
      <c r="E416" s="43">
        <f>Daftar!E416</f>
        <v>0</v>
      </c>
    </row>
    <row r="417" spans="2:5" x14ac:dyDescent="0.25">
      <c r="B417" s="43">
        <f>Daftar!B417</f>
        <v>0</v>
      </c>
      <c r="C417" s="43">
        <f>Daftar!C417</f>
        <v>0</v>
      </c>
      <c r="D417" s="43">
        <f>Daftar!D417</f>
        <v>0</v>
      </c>
      <c r="E417" s="43">
        <f>Daftar!E417</f>
        <v>0</v>
      </c>
    </row>
    <row r="418" spans="2:5" x14ac:dyDescent="0.25">
      <c r="B418" s="43">
        <f>Daftar!B418</f>
        <v>0</v>
      </c>
      <c r="C418" s="43">
        <f>Daftar!C418</f>
        <v>0</v>
      </c>
      <c r="D418" s="43">
        <f>Daftar!D418</f>
        <v>0</v>
      </c>
      <c r="E418" s="43">
        <f>Daftar!E418</f>
        <v>0</v>
      </c>
    </row>
    <row r="419" spans="2:5" x14ac:dyDescent="0.25">
      <c r="B419" s="43">
        <f>Daftar!B419</f>
        <v>0</v>
      </c>
      <c r="C419" s="43">
        <f>Daftar!C419</f>
        <v>0</v>
      </c>
      <c r="D419" s="43">
        <f>Daftar!D419</f>
        <v>0</v>
      </c>
      <c r="E419" s="43">
        <f>Daftar!E419</f>
        <v>0</v>
      </c>
    </row>
    <row r="420" spans="2:5" x14ac:dyDescent="0.25">
      <c r="B420" s="43">
        <f>Daftar!B420</f>
        <v>0</v>
      </c>
      <c r="C420" s="43">
        <f>Daftar!C420</f>
        <v>0</v>
      </c>
      <c r="D420" s="43">
        <f>Daftar!D420</f>
        <v>0</v>
      </c>
      <c r="E420" s="43">
        <f>Daftar!E420</f>
        <v>0</v>
      </c>
    </row>
    <row r="421" spans="2:5" x14ac:dyDescent="0.25">
      <c r="B421" s="43">
        <f>Daftar!B421</f>
        <v>0</v>
      </c>
      <c r="C421" s="43">
        <f>Daftar!C421</f>
        <v>0</v>
      </c>
      <c r="D421" s="43">
        <f>Daftar!D421</f>
        <v>0</v>
      </c>
      <c r="E421" s="43">
        <f>Daftar!E421</f>
        <v>0</v>
      </c>
    </row>
    <row r="422" spans="2:5" x14ac:dyDescent="0.25">
      <c r="B422" s="43">
        <f>Daftar!B422</f>
        <v>0</v>
      </c>
      <c r="C422" s="43">
        <f>Daftar!C422</f>
        <v>0</v>
      </c>
      <c r="D422" s="43">
        <f>Daftar!D422</f>
        <v>0</v>
      </c>
      <c r="E422" s="43">
        <f>Daftar!E422</f>
        <v>0</v>
      </c>
    </row>
    <row r="423" spans="2:5" x14ac:dyDescent="0.25">
      <c r="B423" s="43">
        <f>Daftar!B423</f>
        <v>0</v>
      </c>
      <c r="C423" s="43">
        <f>Daftar!C423</f>
        <v>0</v>
      </c>
      <c r="D423" s="43">
        <f>Daftar!D423</f>
        <v>0</v>
      </c>
      <c r="E423" s="43">
        <f>Daftar!E423</f>
        <v>0</v>
      </c>
    </row>
    <row r="424" spans="2:5" x14ac:dyDescent="0.25">
      <c r="B424" s="43">
        <f>Daftar!B424</f>
        <v>0</v>
      </c>
      <c r="C424" s="43">
        <f>Daftar!C424</f>
        <v>0</v>
      </c>
      <c r="D424" s="43">
        <f>Daftar!D424</f>
        <v>0</v>
      </c>
      <c r="E424" s="43">
        <f>Daftar!E424</f>
        <v>0</v>
      </c>
    </row>
    <row r="425" spans="2:5" x14ac:dyDescent="0.25">
      <c r="B425" s="43">
        <f>Daftar!B425</f>
        <v>0</v>
      </c>
      <c r="C425" s="43">
        <f>Daftar!C425</f>
        <v>0</v>
      </c>
      <c r="D425" s="43">
        <f>Daftar!D425</f>
        <v>0</v>
      </c>
      <c r="E425" s="43">
        <f>Daftar!E425</f>
        <v>0</v>
      </c>
    </row>
    <row r="426" spans="2:5" x14ac:dyDescent="0.25">
      <c r="B426" s="43">
        <f>Daftar!B426</f>
        <v>0</v>
      </c>
      <c r="C426" s="43">
        <f>Daftar!C426</f>
        <v>0</v>
      </c>
      <c r="D426" s="43">
        <f>Daftar!D426</f>
        <v>0</v>
      </c>
      <c r="E426" s="43">
        <f>Daftar!E426</f>
        <v>0</v>
      </c>
    </row>
    <row r="427" spans="2:5" x14ac:dyDescent="0.25">
      <c r="B427" s="43">
        <f>Daftar!B427</f>
        <v>0</v>
      </c>
      <c r="C427" s="43">
        <f>Daftar!C427</f>
        <v>0</v>
      </c>
      <c r="D427" s="43">
        <f>Daftar!D427</f>
        <v>0</v>
      </c>
      <c r="E427" s="43">
        <f>Daftar!E427</f>
        <v>0</v>
      </c>
    </row>
    <row r="428" spans="2:5" x14ac:dyDescent="0.25">
      <c r="B428" s="43">
        <f>Daftar!B428</f>
        <v>0</v>
      </c>
      <c r="C428" s="43">
        <f>Daftar!C428</f>
        <v>0</v>
      </c>
      <c r="D428" s="43">
        <f>Daftar!D428</f>
        <v>0</v>
      </c>
      <c r="E428" s="43">
        <f>Daftar!E428</f>
        <v>0</v>
      </c>
    </row>
    <row r="429" spans="2:5" x14ac:dyDescent="0.25">
      <c r="B429" s="43">
        <f>Daftar!B429</f>
        <v>0</v>
      </c>
      <c r="C429" s="43">
        <f>Daftar!C429</f>
        <v>0</v>
      </c>
      <c r="D429" s="43">
        <f>Daftar!D429</f>
        <v>0</v>
      </c>
      <c r="E429" s="43">
        <f>Daftar!E429</f>
        <v>0</v>
      </c>
    </row>
    <row r="430" spans="2:5" x14ac:dyDescent="0.25">
      <c r="B430" s="43">
        <f>Daftar!B430</f>
        <v>0</v>
      </c>
      <c r="C430" s="43">
        <f>Daftar!C430</f>
        <v>0</v>
      </c>
      <c r="D430" s="43">
        <f>Daftar!D430</f>
        <v>0</v>
      </c>
      <c r="E430" s="43">
        <f>Daftar!E430</f>
        <v>0</v>
      </c>
    </row>
    <row r="431" spans="2:5" x14ac:dyDescent="0.25">
      <c r="B431" s="43">
        <f>Daftar!B431</f>
        <v>0</v>
      </c>
      <c r="C431" s="43">
        <f>Daftar!C431</f>
        <v>0</v>
      </c>
      <c r="D431" s="43">
        <f>Daftar!D431</f>
        <v>0</v>
      </c>
      <c r="E431" s="43">
        <f>Daftar!E431</f>
        <v>0</v>
      </c>
    </row>
    <row r="432" spans="2:5" x14ac:dyDescent="0.25">
      <c r="B432" s="43">
        <f>Daftar!B432</f>
        <v>0</v>
      </c>
      <c r="C432" s="43">
        <f>Daftar!C432</f>
        <v>0</v>
      </c>
      <c r="D432" s="43">
        <f>Daftar!D432</f>
        <v>0</v>
      </c>
      <c r="E432" s="43">
        <f>Daftar!E432</f>
        <v>0</v>
      </c>
    </row>
    <row r="433" spans="2:5" x14ac:dyDescent="0.25">
      <c r="B433" s="43">
        <f>Daftar!B433</f>
        <v>0</v>
      </c>
      <c r="C433" s="43">
        <f>Daftar!C433</f>
        <v>0</v>
      </c>
      <c r="D433" s="43">
        <f>Daftar!D433</f>
        <v>0</v>
      </c>
      <c r="E433" s="43">
        <f>Daftar!E433</f>
        <v>0</v>
      </c>
    </row>
    <row r="434" spans="2:5" x14ac:dyDescent="0.25">
      <c r="B434" s="43">
        <f>Daftar!B434</f>
        <v>0</v>
      </c>
      <c r="C434" s="43">
        <f>Daftar!C434</f>
        <v>0</v>
      </c>
      <c r="D434" s="43">
        <f>Daftar!D434</f>
        <v>0</v>
      </c>
      <c r="E434" s="43">
        <f>Daftar!E434</f>
        <v>0</v>
      </c>
    </row>
    <row r="435" spans="2:5" x14ac:dyDescent="0.25">
      <c r="B435" s="43">
        <f>Daftar!B435</f>
        <v>0</v>
      </c>
      <c r="C435" s="43">
        <f>Daftar!C435</f>
        <v>0</v>
      </c>
      <c r="D435" s="43">
        <f>Daftar!D435</f>
        <v>0</v>
      </c>
      <c r="E435" s="43">
        <f>Daftar!E435</f>
        <v>0</v>
      </c>
    </row>
    <row r="436" spans="2:5" x14ac:dyDescent="0.25">
      <c r="B436" s="43">
        <f>Daftar!B436</f>
        <v>0</v>
      </c>
      <c r="C436" s="43">
        <f>Daftar!C436</f>
        <v>0</v>
      </c>
      <c r="D436" s="43">
        <f>Daftar!D436</f>
        <v>0</v>
      </c>
      <c r="E436" s="43">
        <f>Daftar!E436</f>
        <v>0</v>
      </c>
    </row>
    <row r="437" spans="2:5" x14ac:dyDescent="0.25">
      <c r="B437" s="43">
        <f>Daftar!B437</f>
        <v>0</v>
      </c>
      <c r="C437" s="43">
        <f>Daftar!C437</f>
        <v>0</v>
      </c>
      <c r="D437" s="43">
        <f>Daftar!D437</f>
        <v>0</v>
      </c>
      <c r="E437" s="43">
        <f>Daftar!E437</f>
        <v>0</v>
      </c>
    </row>
    <row r="438" spans="2:5" x14ac:dyDescent="0.25">
      <c r="B438" s="43">
        <f>Daftar!B438</f>
        <v>0</v>
      </c>
      <c r="C438" s="43">
        <f>Daftar!C438</f>
        <v>0</v>
      </c>
      <c r="D438" s="43">
        <f>Daftar!D438</f>
        <v>0</v>
      </c>
      <c r="E438" s="43">
        <f>Daftar!E438</f>
        <v>0</v>
      </c>
    </row>
    <row r="439" spans="2:5" x14ac:dyDescent="0.25">
      <c r="B439" s="43">
        <f>Daftar!B439</f>
        <v>0</v>
      </c>
      <c r="C439" s="43">
        <f>Daftar!C439</f>
        <v>0</v>
      </c>
      <c r="D439" s="43">
        <f>Daftar!D439</f>
        <v>0</v>
      </c>
      <c r="E439" s="43">
        <f>Daftar!E439</f>
        <v>0</v>
      </c>
    </row>
    <row r="440" spans="2:5" x14ac:dyDescent="0.25">
      <c r="B440" s="43">
        <f>Daftar!B440</f>
        <v>0</v>
      </c>
      <c r="C440" s="43">
        <f>Daftar!C440</f>
        <v>0</v>
      </c>
      <c r="D440" s="43">
        <f>Daftar!D440</f>
        <v>0</v>
      </c>
      <c r="E440" s="43">
        <f>Daftar!E440</f>
        <v>0</v>
      </c>
    </row>
    <row r="441" spans="2:5" x14ac:dyDescent="0.25">
      <c r="B441" s="43">
        <f>Daftar!B441</f>
        <v>0</v>
      </c>
      <c r="C441" s="43">
        <f>Daftar!C441</f>
        <v>0</v>
      </c>
      <c r="D441" s="43">
        <f>Daftar!D441</f>
        <v>0</v>
      </c>
      <c r="E441" s="43">
        <f>Daftar!E441</f>
        <v>0</v>
      </c>
    </row>
    <row r="442" spans="2:5" x14ac:dyDescent="0.25">
      <c r="B442" s="43">
        <f>Daftar!B442</f>
        <v>0</v>
      </c>
      <c r="C442" s="43">
        <f>Daftar!C442</f>
        <v>0</v>
      </c>
      <c r="D442" s="43">
        <f>Daftar!D442</f>
        <v>0</v>
      </c>
      <c r="E442" s="43">
        <f>Daftar!E442</f>
        <v>0</v>
      </c>
    </row>
    <row r="443" spans="2:5" x14ac:dyDescent="0.25">
      <c r="B443" s="43">
        <f>Daftar!B443</f>
        <v>0</v>
      </c>
      <c r="C443" s="43">
        <f>Daftar!C443</f>
        <v>0</v>
      </c>
      <c r="D443" s="43">
        <f>Daftar!D443</f>
        <v>0</v>
      </c>
      <c r="E443" s="43">
        <f>Daftar!E443</f>
        <v>0</v>
      </c>
    </row>
    <row r="444" spans="2:5" x14ac:dyDescent="0.25">
      <c r="B444" s="43">
        <f>Daftar!B444</f>
        <v>0</v>
      </c>
      <c r="C444" s="43">
        <f>Daftar!C444</f>
        <v>0</v>
      </c>
      <c r="D444" s="43">
        <f>Daftar!D444</f>
        <v>0</v>
      </c>
      <c r="E444" s="43">
        <f>Daftar!E444</f>
        <v>0</v>
      </c>
    </row>
    <row r="445" spans="2:5" x14ac:dyDescent="0.25">
      <c r="B445" s="43">
        <f>Daftar!B445</f>
        <v>0</v>
      </c>
      <c r="C445" s="43">
        <f>Daftar!C445</f>
        <v>0</v>
      </c>
      <c r="D445" s="43">
        <f>Daftar!D445</f>
        <v>0</v>
      </c>
      <c r="E445" s="43">
        <f>Daftar!E445</f>
        <v>0</v>
      </c>
    </row>
    <row r="446" spans="2:5" x14ac:dyDescent="0.25">
      <c r="B446" s="43">
        <f>Daftar!B446</f>
        <v>0</v>
      </c>
      <c r="C446" s="43">
        <f>Daftar!C446</f>
        <v>0</v>
      </c>
      <c r="D446" s="43">
        <f>Daftar!D446</f>
        <v>0</v>
      </c>
      <c r="E446" s="43">
        <f>Daftar!E446</f>
        <v>0</v>
      </c>
    </row>
    <row r="447" spans="2:5" x14ac:dyDescent="0.25">
      <c r="B447" s="43">
        <f>Daftar!B447</f>
        <v>0</v>
      </c>
      <c r="C447" s="43">
        <f>Daftar!C447</f>
        <v>0</v>
      </c>
      <c r="D447" s="43">
        <f>Daftar!D447</f>
        <v>0</v>
      </c>
      <c r="E447" s="43">
        <f>Daftar!E447</f>
        <v>0</v>
      </c>
    </row>
    <row r="448" spans="2:5" x14ac:dyDescent="0.25">
      <c r="B448" s="43">
        <f>Daftar!B448</f>
        <v>0</v>
      </c>
      <c r="C448" s="43">
        <f>Daftar!C448</f>
        <v>0</v>
      </c>
      <c r="D448" s="43">
        <f>Daftar!D448</f>
        <v>0</v>
      </c>
      <c r="E448" s="43">
        <f>Daftar!E448</f>
        <v>0</v>
      </c>
    </row>
    <row r="449" spans="2:5" x14ac:dyDescent="0.25">
      <c r="B449" s="43">
        <f>Daftar!B449</f>
        <v>0</v>
      </c>
      <c r="C449" s="43">
        <f>Daftar!C449</f>
        <v>0</v>
      </c>
      <c r="D449" s="43">
        <f>Daftar!D449</f>
        <v>0</v>
      </c>
      <c r="E449" s="43">
        <f>Daftar!E449</f>
        <v>0</v>
      </c>
    </row>
    <row r="450" spans="2:5" x14ac:dyDescent="0.25">
      <c r="B450" s="43">
        <f>Daftar!B450</f>
        <v>0</v>
      </c>
      <c r="C450" s="43">
        <f>Daftar!C450</f>
        <v>0</v>
      </c>
      <c r="D450" s="43">
        <f>Daftar!D450</f>
        <v>0</v>
      </c>
      <c r="E450" s="43">
        <f>Daftar!E450</f>
        <v>0</v>
      </c>
    </row>
    <row r="451" spans="2:5" x14ac:dyDescent="0.25">
      <c r="B451" s="43">
        <f>Daftar!B451</f>
        <v>0</v>
      </c>
      <c r="C451" s="43">
        <f>Daftar!C451</f>
        <v>0</v>
      </c>
      <c r="D451" s="43">
        <f>Daftar!D451</f>
        <v>0</v>
      </c>
      <c r="E451" s="43">
        <f>Daftar!E451</f>
        <v>0</v>
      </c>
    </row>
    <row r="452" spans="2:5" x14ac:dyDescent="0.25">
      <c r="B452" s="43">
        <f>Daftar!B452</f>
        <v>0</v>
      </c>
      <c r="C452" s="43">
        <f>Daftar!C452</f>
        <v>0</v>
      </c>
      <c r="D452" s="43">
        <f>Daftar!D452</f>
        <v>0</v>
      </c>
      <c r="E452" s="43">
        <f>Daftar!E452</f>
        <v>0</v>
      </c>
    </row>
    <row r="453" spans="2:5" x14ac:dyDescent="0.25">
      <c r="B453" s="43">
        <f>Daftar!B453</f>
        <v>0</v>
      </c>
      <c r="C453" s="43">
        <f>Daftar!C453</f>
        <v>0</v>
      </c>
      <c r="D453" s="43">
        <f>Daftar!D453</f>
        <v>0</v>
      </c>
      <c r="E453" s="43">
        <f>Daftar!E453</f>
        <v>0</v>
      </c>
    </row>
    <row r="454" spans="2:5" x14ac:dyDescent="0.25">
      <c r="B454" s="43">
        <f>Daftar!B454</f>
        <v>0</v>
      </c>
      <c r="C454" s="43">
        <f>Daftar!C454</f>
        <v>0</v>
      </c>
      <c r="D454" s="43">
        <f>Daftar!D454</f>
        <v>0</v>
      </c>
      <c r="E454" s="43">
        <f>Daftar!E454</f>
        <v>0</v>
      </c>
    </row>
    <row r="455" spans="2:5" x14ac:dyDescent="0.25">
      <c r="B455" s="43">
        <f>Daftar!B455</f>
        <v>0</v>
      </c>
      <c r="C455" s="43">
        <f>Daftar!C455</f>
        <v>0</v>
      </c>
      <c r="D455" s="43">
        <f>Daftar!D455</f>
        <v>0</v>
      </c>
      <c r="E455" s="43">
        <f>Daftar!E455</f>
        <v>0</v>
      </c>
    </row>
    <row r="456" spans="2:5" x14ac:dyDescent="0.25">
      <c r="B456" s="43">
        <f>Daftar!B456</f>
        <v>0</v>
      </c>
      <c r="C456" s="43">
        <f>Daftar!C456</f>
        <v>0</v>
      </c>
      <c r="D456" s="43">
        <f>Daftar!D456</f>
        <v>0</v>
      </c>
      <c r="E456" s="43">
        <f>Daftar!E456</f>
        <v>0</v>
      </c>
    </row>
    <row r="457" spans="2:5" x14ac:dyDescent="0.25">
      <c r="B457" s="43">
        <f>Daftar!B457</f>
        <v>0</v>
      </c>
      <c r="C457" s="43">
        <f>Daftar!C457</f>
        <v>0</v>
      </c>
      <c r="D457" s="43">
        <f>Daftar!D457</f>
        <v>0</v>
      </c>
      <c r="E457" s="43">
        <f>Daftar!E457</f>
        <v>0</v>
      </c>
    </row>
    <row r="458" spans="2:5" x14ac:dyDescent="0.25">
      <c r="B458" s="43">
        <f>Daftar!B458</f>
        <v>0</v>
      </c>
      <c r="C458" s="43">
        <f>Daftar!C458</f>
        <v>0</v>
      </c>
      <c r="D458" s="43">
        <f>Daftar!D458</f>
        <v>0</v>
      </c>
      <c r="E458" s="43">
        <f>Daftar!E458</f>
        <v>0</v>
      </c>
    </row>
    <row r="459" spans="2:5" x14ac:dyDescent="0.25">
      <c r="B459" s="43">
        <f>Daftar!B459</f>
        <v>0</v>
      </c>
      <c r="C459" s="43">
        <f>Daftar!C459</f>
        <v>0</v>
      </c>
      <c r="D459" s="43">
        <f>Daftar!D459</f>
        <v>0</v>
      </c>
      <c r="E459" s="43">
        <f>Daftar!E459</f>
        <v>0</v>
      </c>
    </row>
    <row r="460" spans="2:5" x14ac:dyDescent="0.25">
      <c r="B460" s="43">
        <f>Daftar!B460</f>
        <v>0</v>
      </c>
      <c r="C460" s="43">
        <f>Daftar!C460</f>
        <v>0</v>
      </c>
      <c r="D460" s="43">
        <f>Daftar!D460</f>
        <v>0</v>
      </c>
      <c r="E460" s="43">
        <f>Daftar!E460</f>
        <v>0</v>
      </c>
    </row>
    <row r="461" spans="2:5" x14ac:dyDescent="0.25">
      <c r="B461" s="43">
        <f>Daftar!B461</f>
        <v>0</v>
      </c>
      <c r="C461" s="43">
        <f>Daftar!C461</f>
        <v>0</v>
      </c>
      <c r="D461" s="43">
        <f>Daftar!D461</f>
        <v>0</v>
      </c>
      <c r="E461" s="43">
        <f>Daftar!E461</f>
        <v>0</v>
      </c>
    </row>
    <row r="462" spans="2:5" x14ac:dyDescent="0.25">
      <c r="B462" s="43">
        <f>Daftar!B462</f>
        <v>0</v>
      </c>
      <c r="C462" s="43">
        <f>Daftar!C462</f>
        <v>0</v>
      </c>
      <c r="D462" s="43">
        <f>Daftar!D462</f>
        <v>0</v>
      </c>
      <c r="E462" s="43">
        <f>Daftar!E462</f>
        <v>0</v>
      </c>
    </row>
    <row r="463" spans="2:5" x14ac:dyDescent="0.25">
      <c r="B463" s="43">
        <f>Daftar!B463</f>
        <v>0</v>
      </c>
      <c r="C463" s="43">
        <f>Daftar!C463</f>
        <v>0</v>
      </c>
      <c r="D463" s="43">
        <f>Daftar!D463</f>
        <v>0</v>
      </c>
      <c r="E463" s="43">
        <f>Daftar!E463</f>
        <v>0</v>
      </c>
    </row>
    <row r="464" spans="2:5" x14ac:dyDescent="0.25">
      <c r="B464" s="43">
        <f>Daftar!B464</f>
        <v>0</v>
      </c>
      <c r="C464" s="43">
        <f>Daftar!C464</f>
        <v>0</v>
      </c>
      <c r="D464" s="43">
        <f>Daftar!D464</f>
        <v>0</v>
      </c>
      <c r="E464" s="43">
        <f>Daftar!E464</f>
        <v>0</v>
      </c>
    </row>
    <row r="465" spans="2:5" x14ac:dyDescent="0.25">
      <c r="B465" s="43">
        <f>Daftar!B465</f>
        <v>0</v>
      </c>
      <c r="C465" s="43">
        <f>Daftar!C465</f>
        <v>0</v>
      </c>
      <c r="D465" s="43">
        <f>Daftar!D465</f>
        <v>0</v>
      </c>
      <c r="E465" s="43">
        <f>Daftar!E465</f>
        <v>0</v>
      </c>
    </row>
    <row r="466" spans="2:5" x14ac:dyDescent="0.25">
      <c r="B466" s="43">
        <f>Daftar!B466</f>
        <v>0</v>
      </c>
      <c r="C466" s="43">
        <f>Daftar!C466</f>
        <v>0</v>
      </c>
      <c r="D466" s="43">
        <f>Daftar!D466</f>
        <v>0</v>
      </c>
      <c r="E466" s="43">
        <f>Daftar!E466</f>
        <v>0</v>
      </c>
    </row>
    <row r="467" spans="2:5" x14ac:dyDescent="0.25">
      <c r="B467" s="43">
        <f>Daftar!B467</f>
        <v>0</v>
      </c>
      <c r="C467" s="43">
        <f>Daftar!C467</f>
        <v>0</v>
      </c>
      <c r="D467" s="43">
        <f>Daftar!D467</f>
        <v>0</v>
      </c>
      <c r="E467" s="43">
        <f>Daftar!E467</f>
        <v>0</v>
      </c>
    </row>
    <row r="468" spans="2:5" x14ac:dyDescent="0.25">
      <c r="B468" s="43">
        <f>Daftar!B468</f>
        <v>0</v>
      </c>
      <c r="C468" s="43">
        <f>Daftar!C468</f>
        <v>0</v>
      </c>
      <c r="D468" s="43">
        <f>Daftar!D468</f>
        <v>0</v>
      </c>
      <c r="E468" s="43">
        <f>Daftar!E468</f>
        <v>0</v>
      </c>
    </row>
    <row r="469" spans="2:5" x14ac:dyDescent="0.25">
      <c r="B469" s="43">
        <f>Daftar!B469</f>
        <v>0</v>
      </c>
      <c r="C469" s="43">
        <f>Daftar!C469</f>
        <v>0</v>
      </c>
      <c r="D469" s="43">
        <f>Daftar!D469</f>
        <v>0</v>
      </c>
      <c r="E469" s="43">
        <f>Daftar!E469</f>
        <v>0</v>
      </c>
    </row>
    <row r="470" spans="2:5" x14ac:dyDescent="0.25">
      <c r="B470" s="43">
        <f>Daftar!B470</f>
        <v>0</v>
      </c>
      <c r="C470" s="43">
        <f>Daftar!C470</f>
        <v>0</v>
      </c>
      <c r="D470" s="43">
        <f>Daftar!D470</f>
        <v>0</v>
      </c>
      <c r="E470" s="43">
        <f>Daftar!E470</f>
        <v>0</v>
      </c>
    </row>
    <row r="471" spans="2:5" x14ac:dyDescent="0.25">
      <c r="B471" s="43">
        <f>Daftar!B471</f>
        <v>0</v>
      </c>
      <c r="C471" s="43">
        <f>Daftar!C471</f>
        <v>0</v>
      </c>
      <c r="D471" s="43">
        <f>Daftar!D471</f>
        <v>0</v>
      </c>
      <c r="E471" s="43">
        <f>Daftar!E471</f>
        <v>0</v>
      </c>
    </row>
    <row r="472" spans="2:5" x14ac:dyDescent="0.25">
      <c r="B472" s="43">
        <f>Daftar!B472</f>
        <v>0</v>
      </c>
      <c r="C472" s="43">
        <f>Daftar!C472</f>
        <v>0</v>
      </c>
      <c r="D472" s="43">
        <f>Daftar!D472</f>
        <v>0</v>
      </c>
      <c r="E472" s="43">
        <f>Daftar!E472</f>
        <v>0</v>
      </c>
    </row>
    <row r="473" spans="2:5" x14ac:dyDescent="0.25">
      <c r="B473" s="43">
        <f>Daftar!B473</f>
        <v>0</v>
      </c>
      <c r="C473" s="43">
        <f>Daftar!C473</f>
        <v>0</v>
      </c>
      <c r="D473" s="43">
        <f>Daftar!D473</f>
        <v>0</v>
      </c>
      <c r="E473" s="43">
        <f>Daftar!E473</f>
        <v>0</v>
      </c>
    </row>
    <row r="474" spans="2:5" x14ac:dyDescent="0.25">
      <c r="B474" s="43">
        <f>Daftar!B474</f>
        <v>0</v>
      </c>
      <c r="C474" s="43">
        <f>Daftar!C474</f>
        <v>0</v>
      </c>
      <c r="D474" s="43">
        <f>Daftar!D474</f>
        <v>0</v>
      </c>
      <c r="E474" s="43">
        <f>Daftar!E474</f>
        <v>0</v>
      </c>
    </row>
    <row r="475" spans="2:5" x14ac:dyDescent="0.25">
      <c r="B475" s="43">
        <f>Daftar!B475</f>
        <v>0</v>
      </c>
      <c r="C475" s="43">
        <f>Daftar!C475</f>
        <v>0</v>
      </c>
      <c r="D475" s="43">
        <f>Daftar!D475</f>
        <v>0</v>
      </c>
      <c r="E475" s="43">
        <f>Daftar!E475</f>
        <v>0</v>
      </c>
    </row>
    <row r="476" spans="2:5" x14ac:dyDescent="0.25">
      <c r="B476" s="43">
        <f>Daftar!B476</f>
        <v>0</v>
      </c>
      <c r="C476" s="43">
        <f>Daftar!C476</f>
        <v>0</v>
      </c>
      <c r="D476" s="43">
        <f>Daftar!D476</f>
        <v>0</v>
      </c>
      <c r="E476" s="43">
        <f>Daftar!E476</f>
        <v>0</v>
      </c>
    </row>
    <row r="477" spans="2:5" x14ac:dyDescent="0.25">
      <c r="B477" s="43">
        <f>Daftar!B477</f>
        <v>0</v>
      </c>
      <c r="C477" s="43">
        <f>Daftar!C477</f>
        <v>0</v>
      </c>
      <c r="D477" s="43">
        <f>Daftar!D477</f>
        <v>0</v>
      </c>
      <c r="E477" s="43">
        <f>Daftar!E477</f>
        <v>0</v>
      </c>
    </row>
    <row r="478" spans="2:5" x14ac:dyDescent="0.25">
      <c r="B478" s="43">
        <f>Daftar!B478</f>
        <v>0</v>
      </c>
      <c r="C478" s="43">
        <f>Daftar!C478</f>
        <v>0</v>
      </c>
      <c r="D478" s="43">
        <f>Daftar!D478</f>
        <v>0</v>
      </c>
      <c r="E478" s="43">
        <f>Daftar!E478</f>
        <v>0</v>
      </c>
    </row>
    <row r="479" spans="2:5" x14ac:dyDescent="0.25">
      <c r="B479" s="43">
        <f>Daftar!B479</f>
        <v>0</v>
      </c>
      <c r="C479" s="43">
        <f>Daftar!C479</f>
        <v>0</v>
      </c>
      <c r="D479" s="43">
        <f>Daftar!D479</f>
        <v>0</v>
      </c>
      <c r="E479" s="43">
        <f>Daftar!E479</f>
        <v>0</v>
      </c>
    </row>
    <row r="480" spans="2:5" x14ac:dyDescent="0.25">
      <c r="B480" s="43">
        <f>Daftar!B480</f>
        <v>0</v>
      </c>
      <c r="C480" s="43">
        <f>Daftar!C480</f>
        <v>0</v>
      </c>
      <c r="D480" s="43">
        <f>Daftar!D480</f>
        <v>0</v>
      </c>
      <c r="E480" s="43">
        <f>Daftar!E480</f>
        <v>0</v>
      </c>
    </row>
    <row r="481" spans="2:5" x14ac:dyDescent="0.25">
      <c r="B481" s="43">
        <f>Daftar!B481</f>
        <v>0</v>
      </c>
      <c r="C481" s="43">
        <f>Daftar!C481</f>
        <v>0</v>
      </c>
      <c r="D481" s="43">
        <f>Daftar!D481</f>
        <v>0</v>
      </c>
      <c r="E481" s="43">
        <f>Daftar!E481</f>
        <v>0</v>
      </c>
    </row>
    <row r="482" spans="2:5" x14ac:dyDescent="0.25">
      <c r="B482" s="43">
        <f>Daftar!B482</f>
        <v>0</v>
      </c>
      <c r="C482" s="43">
        <f>Daftar!C482</f>
        <v>0</v>
      </c>
      <c r="D482" s="43">
        <f>Daftar!D482</f>
        <v>0</v>
      </c>
      <c r="E482" s="43">
        <f>Daftar!E482</f>
        <v>0</v>
      </c>
    </row>
    <row r="483" spans="2:5" x14ac:dyDescent="0.25">
      <c r="B483" s="43">
        <f>Daftar!B483</f>
        <v>0</v>
      </c>
      <c r="C483" s="43">
        <f>Daftar!C483</f>
        <v>0</v>
      </c>
      <c r="D483" s="43">
        <f>Daftar!D483</f>
        <v>0</v>
      </c>
      <c r="E483" s="43">
        <f>Daftar!E483</f>
        <v>0</v>
      </c>
    </row>
    <row r="484" spans="2:5" x14ac:dyDescent="0.25">
      <c r="B484" s="43">
        <f>Daftar!B484</f>
        <v>0</v>
      </c>
      <c r="C484" s="43">
        <f>Daftar!C484</f>
        <v>0</v>
      </c>
      <c r="D484" s="43">
        <f>Daftar!D484</f>
        <v>0</v>
      </c>
      <c r="E484" s="43">
        <f>Daftar!E484</f>
        <v>0</v>
      </c>
    </row>
    <row r="485" spans="2:5" x14ac:dyDescent="0.25">
      <c r="B485" s="43">
        <f>Daftar!B485</f>
        <v>0</v>
      </c>
      <c r="C485" s="43">
        <f>Daftar!C485</f>
        <v>0</v>
      </c>
      <c r="D485" s="43">
        <f>Daftar!D485</f>
        <v>0</v>
      </c>
      <c r="E485" s="43">
        <f>Daftar!E485</f>
        <v>0</v>
      </c>
    </row>
    <row r="486" spans="2:5" x14ac:dyDescent="0.25">
      <c r="B486" s="43">
        <f>Daftar!B486</f>
        <v>0</v>
      </c>
      <c r="C486" s="43">
        <f>Daftar!C486</f>
        <v>0</v>
      </c>
      <c r="D486" s="43">
        <f>Daftar!D486</f>
        <v>0</v>
      </c>
      <c r="E486" s="43">
        <f>Daftar!E486</f>
        <v>0</v>
      </c>
    </row>
    <row r="487" spans="2:5" x14ac:dyDescent="0.25">
      <c r="B487" s="43">
        <f>Daftar!B487</f>
        <v>0</v>
      </c>
      <c r="C487" s="43">
        <f>Daftar!C487</f>
        <v>0</v>
      </c>
      <c r="D487" s="43">
        <f>Daftar!D487</f>
        <v>0</v>
      </c>
      <c r="E487" s="43">
        <f>Daftar!E487</f>
        <v>0</v>
      </c>
    </row>
    <row r="488" spans="2:5" x14ac:dyDescent="0.25">
      <c r="B488" s="43">
        <f>Daftar!B488</f>
        <v>0</v>
      </c>
      <c r="C488" s="43">
        <f>Daftar!C488</f>
        <v>0</v>
      </c>
      <c r="D488" s="43">
        <f>Daftar!D488</f>
        <v>0</v>
      </c>
      <c r="E488" s="43">
        <f>Daftar!E488</f>
        <v>0</v>
      </c>
    </row>
    <row r="489" spans="2:5" x14ac:dyDescent="0.25">
      <c r="B489" s="43">
        <f>Daftar!B489</f>
        <v>0</v>
      </c>
      <c r="C489" s="43">
        <f>Daftar!C489</f>
        <v>0</v>
      </c>
      <c r="D489" s="43">
        <f>Daftar!D489</f>
        <v>0</v>
      </c>
      <c r="E489" s="43">
        <f>Daftar!E489</f>
        <v>0</v>
      </c>
    </row>
    <row r="490" spans="2:5" x14ac:dyDescent="0.25">
      <c r="B490" s="43">
        <f>Daftar!B490</f>
        <v>0</v>
      </c>
      <c r="C490" s="43">
        <f>Daftar!C490</f>
        <v>0</v>
      </c>
      <c r="D490" s="43">
        <f>Daftar!D490</f>
        <v>0</v>
      </c>
      <c r="E490" s="43">
        <f>Daftar!E490</f>
        <v>0</v>
      </c>
    </row>
    <row r="491" spans="2:5" x14ac:dyDescent="0.25">
      <c r="B491" s="43">
        <f>Daftar!B491</f>
        <v>0</v>
      </c>
      <c r="C491" s="43">
        <f>Daftar!C491</f>
        <v>0</v>
      </c>
      <c r="D491" s="43">
        <f>Daftar!D491</f>
        <v>0</v>
      </c>
      <c r="E491" s="43">
        <f>Daftar!E491</f>
        <v>0</v>
      </c>
    </row>
    <row r="492" spans="2:5" x14ac:dyDescent="0.25">
      <c r="B492" s="43">
        <f>Daftar!B492</f>
        <v>0</v>
      </c>
      <c r="C492" s="43">
        <f>Daftar!C492</f>
        <v>0</v>
      </c>
      <c r="D492" s="43">
        <f>Daftar!D492</f>
        <v>0</v>
      </c>
      <c r="E492" s="43">
        <f>Daftar!E492</f>
        <v>0</v>
      </c>
    </row>
    <row r="493" spans="2:5" x14ac:dyDescent="0.25">
      <c r="B493" s="43">
        <f>Daftar!B493</f>
        <v>0</v>
      </c>
      <c r="C493" s="43">
        <f>Daftar!C493</f>
        <v>0</v>
      </c>
      <c r="D493" s="43">
        <f>Daftar!D493</f>
        <v>0</v>
      </c>
      <c r="E493" s="43">
        <f>Daftar!E493</f>
        <v>0</v>
      </c>
    </row>
    <row r="494" spans="2:5" x14ac:dyDescent="0.25">
      <c r="B494" s="43">
        <f>Daftar!B494</f>
        <v>0</v>
      </c>
      <c r="C494" s="43">
        <f>Daftar!C494</f>
        <v>0</v>
      </c>
      <c r="D494" s="43">
        <f>Daftar!D494</f>
        <v>0</v>
      </c>
      <c r="E494" s="43">
        <f>Daftar!E494</f>
        <v>0</v>
      </c>
    </row>
    <row r="495" spans="2:5" x14ac:dyDescent="0.25">
      <c r="B495" s="43">
        <f>Daftar!B495</f>
        <v>0</v>
      </c>
      <c r="C495" s="43">
        <f>Daftar!C495</f>
        <v>0</v>
      </c>
      <c r="D495" s="43">
        <f>Daftar!D495</f>
        <v>0</v>
      </c>
      <c r="E495" s="43">
        <f>Daftar!E495</f>
        <v>0</v>
      </c>
    </row>
    <row r="496" spans="2:5" x14ac:dyDescent="0.25">
      <c r="B496" s="43">
        <f>Daftar!B496</f>
        <v>0</v>
      </c>
      <c r="C496" s="43">
        <f>Daftar!C496</f>
        <v>0</v>
      </c>
      <c r="D496" s="43">
        <f>Daftar!D496</f>
        <v>0</v>
      </c>
      <c r="E496" s="43">
        <f>Daftar!E496</f>
        <v>0</v>
      </c>
    </row>
    <row r="497" spans="2:5" x14ac:dyDescent="0.25">
      <c r="B497" s="43">
        <f>Daftar!B497</f>
        <v>0</v>
      </c>
      <c r="C497" s="43">
        <f>Daftar!C497</f>
        <v>0</v>
      </c>
      <c r="D497" s="43">
        <f>Daftar!D497</f>
        <v>0</v>
      </c>
      <c r="E497" s="43">
        <f>Daftar!E497</f>
        <v>0</v>
      </c>
    </row>
    <row r="498" spans="2:5" x14ac:dyDescent="0.25">
      <c r="B498" s="43">
        <f>Daftar!B498</f>
        <v>0</v>
      </c>
      <c r="C498" s="43">
        <f>Daftar!C498</f>
        <v>0</v>
      </c>
      <c r="D498" s="43">
        <f>Daftar!D498</f>
        <v>0</v>
      </c>
      <c r="E498" s="43">
        <f>Daftar!E498</f>
        <v>0</v>
      </c>
    </row>
    <row r="499" spans="2:5" x14ac:dyDescent="0.25">
      <c r="B499" s="43">
        <f>Daftar!B499</f>
        <v>0</v>
      </c>
      <c r="C499" s="43">
        <f>Daftar!C499</f>
        <v>0</v>
      </c>
      <c r="D499" s="43">
        <f>Daftar!D499</f>
        <v>0</v>
      </c>
      <c r="E499" s="43">
        <f>Daftar!E499</f>
        <v>0</v>
      </c>
    </row>
    <row r="500" spans="2:5" x14ac:dyDescent="0.25">
      <c r="B500" s="43">
        <f>Daftar!B500</f>
        <v>0</v>
      </c>
      <c r="C500" s="43">
        <f>Daftar!C500</f>
        <v>0</v>
      </c>
      <c r="D500" s="43">
        <f>Daftar!D500</f>
        <v>0</v>
      </c>
      <c r="E500" s="43">
        <f>Daftar!E500</f>
        <v>0</v>
      </c>
    </row>
  </sheetData>
  <sheetProtection sheet="1" objects="1" scenarios="1"/>
  <mergeCells count="1">
    <mergeCell ref="B2:H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8"/>
  <sheetViews>
    <sheetView showGridLines="0" topLeftCell="A2" workbookViewId="0">
      <pane ySplit="3" topLeftCell="A5" activePane="bottomLeft" state="frozen"/>
      <selection activeCell="A2" sqref="A2"/>
      <selection pane="bottomLeft" activeCell="J18" sqref="J18"/>
    </sheetView>
  </sheetViews>
  <sheetFormatPr defaultRowHeight="15" x14ac:dyDescent="0.25"/>
  <cols>
    <col min="1" max="1" width="7.85546875" style="36" customWidth="1"/>
    <col min="2" max="2" width="17.28515625" style="37" bestFit="1" customWidth="1"/>
    <col min="3" max="3" width="9.140625" style="36"/>
    <col min="4" max="5" width="9.140625" style="29"/>
    <col min="6" max="6" width="12.42578125" style="30" customWidth="1"/>
    <col min="7" max="8" width="9.140625" style="30" hidden="1" customWidth="1"/>
    <col min="9" max="14" width="11.28515625" style="30" customWidth="1"/>
    <col min="15" max="15" width="22.28515625" style="30" customWidth="1"/>
    <col min="16" max="16384" width="9.140625" style="29"/>
  </cols>
  <sheetData>
    <row r="1" spans="1:17" hidden="1" x14ac:dyDescent="0.25">
      <c r="A1" s="35">
        <f ca="1">NOW()</f>
        <v>42787.47210983796</v>
      </c>
    </row>
    <row r="2" spans="1:17" ht="36.75" customHeight="1" x14ac:dyDescent="0.25">
      <c r="A2" s="87" t="s">
        <v>56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9"/>
    </row>
    <row r="3" spans="1:17" ht="9" customHeight="1" x14ac:dyDescent="0.25"/>
    <row r="4" spans="1:17" s="39" customFormat="1" ht="18.75" x14ac:dyDescent="0.3">
      <c r="A4" s="40" t="s">
        <v>55</v>
      </c>
      <c r="B4" s="41" t="s">
        <v>21</v>
      </c>
      <c r="C4" s="40" t="s">
        <v>2</v>
      </c>
      <c r="D4" s="40" t="s">
        <v>1</v>
      </c>
      <c r="E4" s="40" t="s">
        <v>3</v>
      </c>
      <c r="F4" s="42" t="s">
        <v>38</v>
      </c>
      <c r="G4" s="42"/>
      <c r="H4" s="42"/>
      <c r="I4" s="42" t="s">
        <v>32</v>
      </c>
      <c r="J4" s="42" t="s">
        <v>33</v>
      </c>
      <c r="K4" s="42" t="s">
        <v>34</v>
      </c>
      <c r="L4" s="42" t="s">
        <v>35</v>
      </c>
      <c r="M4" s="42" t="s">
        <v>36</v>
      </c>
      <c r="N4" s="42" t="s">
        <v>37</v>
      </c>
      <c r="O4" s="42" t="s">
        <v>42</v>
      </c>
      <c r="P4" s="38"/>
      <c r="Q4" s="38"/>
    </row>
    <row r="5" spans="1:17" x14ac:dyDescent="0.25">
      <c r="A5" s="36">
        <v>1</v>
      </c>
      <c r="B5" s="37">
        <v>42767.407860995372</v>
      </c>
      <c r="C5" s="36">
        <v>1611</v>
      </c>
      <c r="D5" s="29" t="s">
        <v>14</v>
      </c>
      <c r="E5" s="29" t="s">
        <v>20</v>
      </c>
      <c r="H5" s="30">
        <f>MONTH(B5)</f>
        <v>2</v>
      </c>
    </row>
    <row r="6" spans="1:17" x14ac:dyDescent="0.25">
      <c r="A6" s="36">
        <v>2</v>
      </c>
      <c r="B6" s="37">
        <v>42767.410840509256</v>
      </c>
      <c r="C6" s="36">
        <v>1617</v>
      </c>
      <c r="D6" s="29" t="s">
        <v>27</v>
      </c>
      <c r="E6" s="29" t="s">
        <v>20</v>
      </c>
      <c r="H6" s="30">
        <f>MONTH(B6)</f>
        <v>2</v>
      </c>
    </row>
    <row r="7" spans="1:17" x14ac:dyDescent="0.25">
      <c r="A7" s="36">
        <v>3</v>
      </c>
      <c r="B7" s="37">
        <v>42787.464756134257</v>
      </c>
      <c r="C7" s="36">
        <v>1610</v>
      </c>
      <c r="D7" s="29" t="s">
        <v>13</v>
      </c>
      <c r="E7" s="29" t="s">
        <v>20</v>
      </c>
      <c r="H7" s="30">
        <f>MONTH(B7)</f>
        <v>2</v>
      </c>
    </row>
    <row r="8" spans="1:17" x14ac:dyDescent="0.25">
      <c r="A8" s="36">
        <v>4</v>
      </c>
      <c r="B8" s="37">
        <v>42787.466108101849</v>
      </c>
      <c r="C8" s="36">
        <v>1610</v>
      </c>
      <c r="D8" s="29" t="s">
        <v>13</v>
      </c>
      <c r="E8" s="29" t="s">
        <v>20</v>
      </c>
      <c r="H8" s="30">
        <f>MONTH(B8)</f>
        <v>2</v>
      </c>
    </row>
  </sheetData>
  <sheetProtection sheet="1" objects="1" scenarios="1"/>
  <mergeCells count="1">
    <mergeCell ref="A2:O2"/>
  </mergeCells>
  <conditionalFormatting sqref="A1:O1 A3:O1048576">
    <cfRule type="expression" dxfId="2" priority="1">
      <formula>$A1&gt;0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24"/>
  <sheetViews>
    <sheetView topLeftCell="B2" workbookViewId="0">
      <pane ySplit="3" topLeftCell="A5" activePane="bottomLeft" state="frozen"/>
      <selection activeCell="B2" sqref="B2"/>
      <selection pane="bottomLeft" activeCell="J18" sqref="J18"/>
    </sheetView>
  </sheetViews>
  <sheetFormatPr defaultRowHeight="15" x14ac:dyDescent="0.25"/>
  <cols>
    <col min="1" max="1" width="0" style="29" hidden="1" customWidth="1"/>
    <col min="2" max="5" width="9.140625" style="53"/>
    <col min="6" max="17" width="9.140625" style="29"/>
    <col min="18" max="18" width="12.42578125" style="29" customWidth="1"/>
    <col min="19" max="24" width="9.140625" style="29"/>
    <col min="25" max="25" width="0" style="29" hidden="1" customWidth="1"/>
    <col min="26" max="26" width="12.85546875" style="29" bestFit="1" customWidth="1"/>
    <col min="27" max="31" width="9.140625" style="29"/>
    <col min="32" max="32" width="10.5703125" style="29" bestFit="1" customWidth="1"/>
    <col min="33" max="33" width="10.42578125" style="29" bestFit="1" customWidth="1"/>
    <col min="34" max="34" width="12.85546875" style="29" bestFit="1" customWidth="1"/>
    <col min="35" max="16384" width="9.140625" style="29"/>
  </cols>
  <sheetData>
    <row r="1" spans="1:34" s="31" customFormat="1" hidden="1" x14ac:dyDescent="0.25">
      <c r="B1" s="50"/>
      <c r="C1" s="50"/>
      <c r="D1" s="50"/>
      <c r="E1" s="50"/>
      <c r="F1" s="32">
        <v>42917</v>
      </c>
      <c r="G1" s="32">
        <v>42948</v>
      </c>
      <c r="H1" s="32">
        <v>42979</v>
      </c>
      <c r="I1" s="32">
        <v>43009</v>
      </c>
      <c r="J1" s="32">
        <v>43040</v>
      </c>
      <c r="K1" s="32">
        <v>43070</v>
      </c>
      <c r="L1" s="32">
        <v>43101</v>
      </c>
      <c r="M1" s="32">
        <v>43132</v>
      </c>
      <c r="N1" s="32">
        <v>43160</v>
      </c>
      <c r="O1" s="32">
        <v>43191</v>
      </c>
      <c r="P1" s="32">
        <v>43221</v>
      </c>
      <c r="Q1" s="32">
        <v>43252</v>
      </c>
      <c r="Z1" s="33" t="s">
        <v>43</v>
      </c>
      <c r="AA1" s="33"/>
      <c r="AB1" s="33"/>
      <c r="AC1" s="33"/>
      <c r="AD1" s="33"/>
      <c r="AE1" s="33"/>
      <c r="AF1" s="33"/>
    </row>
    <row r="2" spans="1:34" s="31" customFormat="1" ht="45.75" customHeight="1" x14ac:dyDescent="0.25">
      <c r="B2" s="91" t="s">
        <v>57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34" s="31" customFormat="1" x14ac:dyDescent="0.25">
      <c r="A3" s="61"/>
      <c r="B3" s="92" t="s">
        <v>0</v>
      </c>
      <c r="C3" s="92" t="s">
        <v>2</v>
      </c>
      <c r="D3" s="92" t="s">
        <v>1</v>
      </c>
      <c r="E3" s="92" t="s">
        <v>3</v>
      </c>
      <c r="F3" s="90" t="s">
        <v>38</v>
      </c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60" t="s">
        <v>43</v>
      </c>
      <c r="S3" s="90" t="s">
        <v>44</v>
      </c>
      <c r="T3" s="90"/>
      <c r="U3" s="90"/>
      <c r="V3" s="90"/>
      <c r="W3" s="90"/>
      <c r="X3" s="90"/>
      <c r="Y3" s="61"/>
      <c r="Z3" s="90" t="s">
        <v>43</v>
      </c>
      <c r="AA3" s="90"/>
      <c r="AB3" s="90"/>
      <c r="AC3" s="90"/>
      <c r="AD3" s="90"/>
      <c r="AE3" s="90"/>
      <c r="AF3" s="90"/>
      <c r="AG3" s="62" t="s">
        <v>67</v>
      </c>
      <c r="AH3" s="60" t="s">
        <v>46</v>
      </c>
    </row>
    <row r="4" spans="1:34" s="31" customFormat="1" x14ac:dyDescent="0.25">
      <c r="A4" s="61"/>
      <c r="B4" s="92"/>
      <c r="C4" s="92" t="s">
        <v>2</v>
      </c>
      <c r="D4" s="92" t="s">
        <v>1</v>
      </c>
      <c r="E4" s="92" t="s">
        <v>3</v>
      </c>
      <c r="F4" s="34" t="str">
        <f>"Jul "&amp;LEFT(Input!$F$10,4)</f>
        <v>Jul 2017</v>
      </c>
      <c r="G4" s="34" t="str">
        <f>"Agt "&amp;LEFT(Input!$F$10,4)</f>
        <v>Agt 2017</v>
      </c>
      <c r="H4" s="34" t="str">
        <f>"Sep "&amp;LEFT(Input!$F$10,4)</f>
        <v>Sep 2017</v>
      </c>
      <c r="I4" s="34" t="str">
        <f>"Okt "&amp;LEFT(Input!$F$10,4)</f>
        <v>Okt 2017</v>
      </c>
      <c r="J4" s="34" t="str">
        <f>"Nov "&amp;LEFT(Input!$F$10,4)</f>
        <v>Nov 2017</v>
      </c>
      <c r="K4" s="34" t="str">
        <f>"Des "&amp;LEFT(Input!$F$10,4)</f>
        <v>Des 2017</v>
      </c>
      <c r="L4" s="34" t="str">
        <f>"Jan "&amp;RIGHT(Input!$F$10,4)</f>
        <v>Jan 2018</v>
      </c>
      <c r="M4" s="34" t="str">
        <f>"Feb "&amp;RIGHT(Input!$F$10,4)</f>
        <v>Feb 2018</v>
      </c>
      <c r="N4" s="34" t="str">
        <f>"Mar "&amp;RIGHT(Input!$F$10,4)</f>
        <v>Mar 2018</v>
      </c>
      <c r="O4" s="34" t="str">
        <f>"Apr "&amp;RIGHT(Input!$F$10,4)</f>
        <v>Apr 2018</v>
      </c>
      <c r="P4" s="34" t="str">
        <f>"Mei "&amp;RIGHT(Input!$F$10,4)</f>
        <v>Mei 2018</v>
      </c>
      <c r="Q4" s="34" t="str">
        <f>"Jun "&amp;RIGHT(Input!$F$10,4)</f>
        <v>Jun 2018</v>
      </c>
      <c r="R4" s="60" t="s">
        <v>38</v>
      </c>
      <c r="S4" s="60" t="s">
        <v>32</v>
      </c>
      <c r="T4" s="60" t="s">
        <v>33</v>
      </c>
      <c r="U4" s="60" t="s">
        <v>34</v>
      </c>
      <c r="V4" s="60" t="s">
        <v>35</v>
      </c>
      <c r="W4" s="60" t="s">
        <v>36</v>
      </c>
      <c r="X4" s="60" t="s">
        <v>37</v>
      </c>
      <c r="Y4" s="61"/>
      <c r="Z4" s="60" t="s">
        <v>32</v>
      </c>
      <c r="AA4" s="60" t="s">
        <v>33</v>
      </c>
      <c r="AB4" s="60" t="s">
        <v>34</v>
      </c>
      <c r="AC4" s="60" t="s">
        <v>35</v>
      </c>
      <c r="AD4" s="60" t="s">
        <v>36</v>
      </c>
      <c r="AE4" s="60" t="s">
        <v>37</v>
      </c>
      <c r="AF4" s="34" t="s">
        <v>45</v>
      </c>
      <c r="AG4" s="62" t="s">
        <v>51</v>
      </c>
      <c r="AH4" s="34" t="s">
        <v>43</v>
      </c>
    </row>
    <row r="5" spans="1:34" x14ac:dyDescent="0.25">
      <c r="B5" s="51">
        <v>1</v>
      </c>
      <c r="C5" s="52">
        <v>1601</v>
      </c>
      <c r="D5" s="51" t="s">
        <v>4</v>
      </c>
      <c r="E5" s="51" t="s">
        <v>20</v>
      </c>
      <c r="F5" s="30">
        <f>IF(SUMIFS(DataBase!$F:$F,DataBase!$H:$H,"="&amp;MONTH(F$1),DataBase!$C:$C,"="&amp;$C5)=0,0,SUMIFS(DataBase!$F:$F,DataBase!$H:$H,"="&amp;MONTH(F$1),DataBase!$C:$C,"="&amp;$C5))</f>
        <v>0</v>
      </c>
      <c r="G5" s="30">
        <f>IF(SUMIFS(DataBase!$F:$F,DataBase!$H:$H,"="&amp;MONTH(G$1),DataBase!$C:$C,"="&amp;$C5)=0,0,SUMIFS(DataBase!$F:$F,DataBase!$H:$H,"="&amp;MONTH(G$1),DataBase!$C:$C,"="&amp;$C5))</f>
        <v>0</v>
      </c>
      <c r="H5" s="30">
        <f>IF(SUMIFS(DataBase!$F:$F,DataBase!$H:$H,"="&amp;MONTH(H$1),DataBase!$C:$C,"="&amp;$C5)=0,0,SUMIFS(DataBase!$F:$F,DataBase!$H:$H,"="&amp;MONTH(H$1),DataBase!$C:$C,"="&amp;$C5))</f>
        <v>0</v>
      </c>
      <c r="I5" s="30">
        <f>IF(SUMIFS(DataBase!$F:$F,DataBase!$H:$H,"="&amp;MONTH(I$1),DataBase!$C:$C,"="&amp;$C5)=0,0,SUMIFS(DataBase!$F:$F,DataBase!$H:$H,"="&amp;MONTH(I$1),DataBase!$C:$C,"="&amp;$C5))</f>
        <v>0</v>
      </c>
      <c r="J5" s="30">
        <f>IF(SUMIFS(DataBase!$F:$F,DataBase!$H:$H,"="&amp;MONTH(J$1),DataBase!$C:$C,"="&amp;$C5)=0,0,SUMIFS(DataBase!$F:$F,DataBase!$H:$H,"="&amp;MONTH(J$1),DataBase!$C:$C,"="&amp;$C5))</f>
        <v>0</v>
      </c>
      <c r="K5" s="30">
        <f>IF(SUMIFS(DataBase!$F:$F,DataBase!$H:$H,"="&amp;MONTH(K$1),DataBase!$C:$C,"="&amp;$C5)=0,0,SUMIFS(DataBase!$F:$F,DataBase!$H:$H,"="&amp;MONTH(K$1),DataBase!$C:$C,"="&amp;$C5))</f>
        <v>0</v>
      </c>
      <c r="L5" s="30">
        <f>IF(SUMIFS(DataBase!$F:$F,DataBase!$H:$H,"="&amp;MONTH(L$1),DataBase!$C:$C,"="&amp;$C5)=0,0,SUMIFS(DataBase!$F:$F,DataBase!$H:$H,"="&amp;MONTH(L$1),DataBase!$C:$C,"="&amp;$C5))</f>
        <v>0</v>
      </c>
      <c r="M5" s="30">
        <f>IF(SUMIFS(DataBase!$F:$F,DataBase!$H:$H,"="&amp;MONTH(M$1),DataBase!$C:$C,"="&amp;$C5)=0,0,SUMIFS(DataBase!$F:$F,DataBase!$H:$H,"="&amp;MONTH(M$1),DataBase!$C:$C,"="&amp;$C5))</f>
        <v>0</v>
      </c>
      <c r="N5" s="30">
        <f>IF(SUMIFS(DataBase!$F:$F,DataBase!$H:$H,"="&amp;MONTH(N$1),DataBase!$C:$C,"="&amp;$C5)=0,0,SUMIFS(DataBase!$F:$F,DataBase!$H:$H,"="&amp;MONTH(N$1),DataBase!$C:$C,"="&amp;$C5))</f>
        <v>0</v>
      </c>
      <c r="O5" s="30">
        <f>IF(SUMIFS(DataBase!$F:$F,DataBase!$H:$H,"="&amp;MONTH(O$1),DataBase!$C:$C,"="&amp;$C5)=0,0,SUMIFS(DataBase!$F:$F,DataBase!$H:$H,"="&amp;MONTH(O$1),DataBase!$C:$C,"="&amp;$C5))</f>
        <v>0</v>
      </c>
      <c r="P5" s="30">
        <f>IF(SUMIFS(DataBase!$F:$F,DataBase!$H:$H,"="&amp;MONTH(P$1),DataBase!$C:$C,"="&amp;$C5)=0,0,SUMIFS(DataBase!$F:$F,DataBase!$H:$H,"="&amp;MONTH(P$1),DataBase!$C:$C,"="&amp;$C5))</f>
        <v>0</v>
      </c>
      <c r="Q5" s="30">
        <f>IF(SUMIFS(DataBase!$F:$F,DataBase!$H:$H,"="&amp;MONTH(Q$1),DataBase!$C:$C,"="&amp;$C5)=0,0,SUMIFS(DataBase!$F:$F,DataBase!$H:$H,"="&amp;MONTH(Q$1),DataBase!$C:$C,"="&amp;$C5))</f>
        <v>0</v>
      </c>
      <c r="R5" s="30">
        <f>12*Identitas!$C$11-SUM(Daftar!F5:Q5)</f>
        <v>1440000</v>
      </c>
      <c r="S5" s="30">
        <f>SUMIFS(DataBase!I:I,DataBase!C:C,Daftar!C5)</f>
        <v>0</v>
      </c>
      <c r="T5" s="30">
        <f>SUMIFS(DataBase!J:J,DataBase!C:C,Daftar!C5)</f>
        <v>0</v>
      </c>
      <c r="U5" s="30">
        <f>SUMIFS(DataBase!K:K,DataBase!C:C,Daftar!C5)</f>
        <v>0</v>
      </c>
      <c r="V5" s="30">
        <f>SUMIFS(DataBase!L:L,DataBase!C:C,Daftar!C5)</f>
        <v>0</v>
      </c>
      <c r="W5" s="30">
        <f>SUMIFS(DataBase!M:M,DataBase!C:C,Daftar!C5)</f>
        <v>0</v>
      </c>
      <c r="X5" s="30">
        <f>SUMIFS(DataBase!N:N,DataBase!C:C,Daftar!C5)</f>
        <v>0</v>
      </c>
      <c r="Z5" s="30">
        <f>Identitas!$C$12-Daftar!S5</f>
        <v>1500000</v>
      </c>
      <c r="AA5" s="30">
        <f>Identitas!$C$13-Daftar!T5</f>
        <v>500000</v>
      </c>
      <c r="AB5" s="30">
        <f>Identitas!$C$14-Daftar!U5</f>
        <v>200000</v>
      </c>
      <c r="AC5" s="30">
        <f>Identitas!$C$15-Daftar!V5</f>
        <v>200000</v>
      </c>
      <c r="AD5" s="30">
        <f>Identitas!$C$16-Daftar!W5</f>
        <v>200000</v>
      </c>
      <c r="AE5" s="30">
        <f>Identitas!$C$17-Daftar!X5</f>
        <v>400000</v>
      </c>
      <c r="AF5" s="30">
        <f>SUM(Z5:AE5)</f>
        <v>3000000</v>
      </c>
      <c r="AG5" s="30">
        <f>Tunggakan!H5</f>
        <v>0</v>
      </c>
      <c r="AH5" s="30">
        <f>R5+AF5</f>
        <v>4440000</v>
      </c>
    </row>
    <row r="6" spans="1:34" x14ac:dyDescent="0.25">
      <c r="B6" s="51">
        <v>2</v>
      </c>
      <c r="C6" s="52">
        <v>1602</v>
      </c>
      <c r="D6" s="51" t="s">
        <v>5</v>
      </c>
      <c r="E6" s="51" t="s">
        <v>20</v>
      </c>
      <c r="F6" s="30">
        <f>IF(SUMIFS(DataBase!$F:$F,DataBase!$H:$H,"="&amp;MONTH(F$1),DataBase!$C:$C,"="&amp;$C6)=0,0,SUMIFS(DataBase!$F:$F,DataBase!$H:$H,"="&amp;MONTH(F$1),DataBase!$C:$C,"="&amp;$C6))</f>
        <v>0</v>
      </c>
      <c r="G6" s="30">
        <f>IF(SUMIFS(DataBase!$F:$F,DataBase!$H:$H,"="&amp;MONTH(G$1),DataBase!$C:$C,"="&amp;$C6)=0,0,SUMIFS(DataBase!$F:$F,DataBase!$H:$H,"="&amp;MONTH(G$1),DataBase!$C:$C,"="&amp;$C6))</f>
        <v>0</v>
      </c>
      <c r="H6" s="30">
        <f>IF(SUMIFS(DataBase!$F:$F,DataBase!$H:$H,"="&amp;MONTH(H$1),DataBase!$C:$C,"="&amp;$C6)=0,0,SUMIFS(DataBase!$F:$F,DataBase!$H:$H,"="&amp;MONTH(H$1),DataBase!$C:$C,"="&amp;$C6))</f>
        <v>0</v>
      </c>
      <c r="I6" s="30">
        <f>IF(SUMIFS(DataBase!$F:$F,DataBase!$H:$H,"="&amp;MONTH(I$1),DataBase!$C:$C,"="&amp;$C6)=0,0,SUMIFS(DataBase!$F:$F,DataBase!$H:$H,"="&amp;MONTH(I$1),DataBase!$C:$C,"="&amp;$C6))</f>
        <v>0</v>
      </c>
      <c r="J6" s="30">
        <f>IF(SUMIFS(DataBase!$F:$F,DataBase!$H:$H,"="&amp;MONTH(J$1),DataBase!$C:$C,"="&amp;$C6)=0,0,SUMIFS(DataBase!$F:$F,DataBase!$H:$H,"="&amp;MONTH(J$1),DataBase!$C:$C,"="&amp;$C6))</f>
        <v>0</v>
      </c>
      <c r="K6" s="30">
        <f>IF(SUMIFS(DataBase!$F:$F,DataBase!$H:$H,"="&amp;MONTH(K$1),DataBase!$C:$C,"="&amp;$C6)=0,0,SUMIFS(DataBase!$F:$F,DataBase!$H:$H,"="&amp;MONTH(K$1),DataBase!$C:$C,"="&amp;$C6))</f>
        <v>0</v>
      </c>
      <c r="L6" s="30">
        <f>IF(SUMIFS(DataBase!$F:$F,DataBase!$H:$H,"="&amp;MONTH(L$1),DataBase!$C:$C,"="&amp;$C6)=0,0,SUMIFS(DataBase!$F:$F,DataBase!$H:$H,"="&amp;MONTH(L$1),DataBase!$C:$C,"="&amp;$C6))</f>
        <v>0</v>
      </c>
      <c r="M6" s="30">
        <f>IF(SUMIFS(DataBase!$F:$F,DataBase!$H:$H,"="&amp;MONTH(M$1),DataBase!$C:$C,"="&amp;$C6)=0,0,SUMIFS(DataBase!$F:$F,DataBase!$H:$H,"="&amp;MONTH(M$1),DataBase!$C:$C,"="&amp;$C6))</f>
        <v>0</v>
      </c>
      <c r="N6" s="30">
        <f>IF(SUMIFS(DataBase!$F:$F,DataBase!$H:$H,"="&amp;MONTH(N$1),DataBase!$C:$C,"="&amp;$C6)=0,0,SUMIFS(DataBase!$F:$F,DataBase!$H:$H,"="&amp;MONTH(N$1),DataBase!$C:$C,"="&amp;$C6))</f>
        <v>0</v>
      </c>
      <c r="O6" s="30">
        <f>IF(SUMIFS(DataBase!$F:$F,DataBase!$H:$H,"="&amp;MONTH(O$1),DataBase!$C:$C,"="&amp;$C6)=0,0,SUMIFS(DataBase!$F:$F,DataBase!$H:$H,"="&amp;MONTH(O$1),DataBase!$C:$C,"="&amp;$C6))</f>
        <v>0</v>
      </c>
      <c r="P6" s="30">
        <f>IF(SUMIFS(DataBase!$F:$F,DataBase!$H:$H,"="&amp;MONTH(P$1),DataBase!$C:$C,"="&amp;$C6)=0,0,SUMIFS(DataBase!$F:$F,DataBase!$H:$H,"="&amp;MONTH(P$1),DataBase!$C:$C,"="&amp;$C6))</f>
        <v>0</v>
      </c>
      <c r="Q6" s="30">
        <f>IF(SUMIFS(DataBase!$F:$F,DataBase!$H:$H,"="&amp;MONTH(Q$1),DataBase!$C:$C,"="&amp;$C6)=0,0,SUMIFS(DataBase!$F:$F,DataBase!$H:$H,"="&amp;MONTH(Q$1),DataBase!$C:$C,"="&amp;$C6))</f>
        <v>0</v>
      </c>
      <c r="R6" s="30">
        <f>12*Identitas!$C$11-SUM(Daftar!F6:Q6)</f>
        <v>1440000</v>
      </c>
      <c r="S6" s="30">
        <f>SUMIFS(DataBase!I:I,DataBase!C:C,Daftar!C6)</f>
        <v>0</v>
      </c>
      <c r="T6" s="30">
        <f>SUMIFS(DataBase!J:J,DataBase!C:C,Daftar!C6)</f>
        <v>0</v>
      </c>
      <c r="U6" s="30">
        <f>SUMIFS(DataBase!K:K,DataBase!C:C,Daftar!C6)</f>
        <v>0</v>
      </c>
      <c r="V6" s="30">
        <f>SUMIFS(DataBase!L:L,DataBase!C:C,Daftar!C6)</f>
        <v>0</v>
      </c>
      <c r="W6" s="30">
        <f>SUMIFS(DataBase!M:M,DataBase!C:C,Daftar!C6)</f>
        <v>0</v>
      </c>
      <c r="X6" s="30">
        <f>SUMIFS(DataBase!N:N,DataBase!C:C,Daftar!C6)</f>
        <v>0</v>
      </c>
      <c r="Z6" s="30">
        <f>Identitas!$C$12-Daftar!S6</f>
        <v>1500000</v>
      </c>
      <c r="AA6" s="30">
        <f>Identitas!$C$13-Daftar!T6</f>
        <v>500000</v>
      </c>
      <c r="AB6" s="30">
        <f>Identitas!$C$14-Daftar!U6</f>
        <v>200000</v>
      </c>
      <c r="AC6" s="30">
        <f>Identitas!$C$15-Daftar!V6</f>
        <v>200000</v>
      </c>
      <c r="AD6" s="30">
        <f>Identitas!$C$16-Daftar!W6</f>
        <v>200000</v>
      </c>
      <c r="AE6" s="30">
        <f>Identitas!$C$17-Daftar!X6</f>
        <v>400000</v>
      </c>
      <c r="AF6" s="30">
        <f t="shared" ref="AF6:AF24" si="0">SUM(Z6:AE6)</f>
        <v>3000000</v>
      </c>
      <c r="AG6" s="30">
        <f>Tunggakan!H6</f>
        <v>0</v>
      </c>
      <c r="AH6" s="30">
        <f t="shared" ref="AH6:AH9" si="1">R6+AF6</f>
        <v>4440000</v>
      </c>
    </row>
    <row r="7" spans="1:34" x14ac:dyDescent="0.25">
      <c r="B7" s="51">
        <v>3</v>
      </c>
      <c r="C7" s="52">
        <v>1603</v>
      </c>
      <c r="D7" s="51" t="s">
        <v>6</v>
      </c>
      <c r="E7" s="51" t="s">
        <v>20</v>
      </c>
      <c r="F7" s="30">
        <f>IF(SUMIFS(DataBase!$F:$F,DataBase!$H:$H,"="&amp;MONTH(F$1),DataBase!$C:$C,"="&amp;$C7)=0,0,SUMIFS(DataBase!$F:$F,DataBase!$H:$H,"="&amp;MONTH(F$1),DataBase!$C:$C,"="&amp;$C7))</f>
        <v>0</v>
      </c>
      <c r="G7" s="30">
        <f>IF(SUMIFS(DataBase!$F:$F,DataBase!$H:$H,"="&amp;MONTH(G$1),DataBase!$C:$C,"="&amp;$C7)=0,0,SUMIFS(DataBase!$F:$F,DataBase!$H:$H,"="&amp;MONTH(G$1),DataBase!$C:$C,"="&amp;$C7))</f>
        <v>0</v>
      </c>
      <c r="H7" s="30">
        <f>IF(SUMIFS(DataBase!$F:$F,DataBase!$H:$H,"="&amp;MONTH(H$1),DataBase!$C:$C,"="&amp;$C7)=0,0,SUMIFS(DataBase!$F:$F,DataBase!$H:$H,"="&amp;MONTH(H$1),DataBase!$C:$C,"="&amp;$C7))</f>
        <v>0</v>
      </c>
      <c r="I7" s="30">
        <f>IF(SUMIFS(DataBase!$F:$F,DataBase!$H:$H,"="&amp;MONTH(I$1),DataBase!$C:$C,"="&amp;$C7)=0,0,SUMIFS(DataBase!$F:$F,DataBase!$H:$H,"="&amp;MONTH(I$1),DataBase!$C:$C,"="&amp;$C7))</f>
        <v>0</v>
      </c>
      <c r="J7" s="30">
        <f>IF(SUMIFS(DataBase!$F:$F,DataBase!$H:$H,"="&amp;MONTH(J$1),DataBase!$C:$C,"="&amp;$C7)=0,0,SUMIFS(DataBase!$F:$F,DataBase!$H:$H,"="&amp;MONTH(J$1),DataBase!$C:$C,"="&amp;$C7))</f>
        <v>0</v>
      </c>
      <c r="K7" s="30">
        <f>IF(SUMIFS(DataBase!$F:$F,DataBase!$H:$H,"="&amp;MONTH(K$1),DataBase!$C:$C,"="&amp;$C7)=0,0,SUMIFS(DataBase!$F:$F,DataBase!$H:$H,"="&amp;MONTH(K$1),DataBase!$C:$C,"="&amp;$C7))</f>
        <v>0</v>
      </c>
      <c r="L7" s="30">
        <f>IF(SUMIFS(DataBase!$F:$F,DataBase!$H:$H,"="&amp;MONTH(L$1),DataBase!$C:$C,"="&amp;$C7)=0,0,SUMIFS(DataBase!$F:$F,DataBase!$H:$H,"="&amp;MONTH(L$1),DataBase!$C:$C,"="&amp;$C7))</f>
        <v>0</v>
      </c>
      <c r="M7" s="30">
        <f>IF(SUMIFS(DataBase!$F:$F,DataBase!$H:$H,"="&amp;MONTH(M$1),DataBase!$C:$C,"="&amp;$C7)=0,0,SUMIFS(DataBase!$F:$F,DataBase!$H:$H,"="&amp;MONTH(M$1),DataBase!$C:$C,"="&amp;$C7))</f>
        <v>0</v>
      </c>
      <c r="N7" s="30">
        <f>IF(SUMIFS(DataBase!$F:$F,DataBase!$H:$H,"="&amp;MONTH(N$1),DataBase!$C:$C,"="&amp;$C7)=0,0,SUMIFS(DataBase!$F:$F,DataBase!$H:$H,"="&amp;MONTH(N$1),DataBase!$C:$C,"="&amp;$C7))</f>
        <v>0</v>
      </c>
      <c r="O7" s="30">
        <f>IF(SUMIFS(DataBase!$F:$F,DataBase!$H:$H,"="&amp;MONTH(O$1),DataBase!$C:$C,"="&amp;$C7)=0,0,SUMIFS(DataBase!$F:$F,DataBase!$H:$H,"="&amp;MONTH(O$1),DataBase!$C:$C,"="&amp;$C7))</f>
        <v>0</v>
      </c>
      <c r="P7" s="30">
        <f>IF(SUMIFS(DataBase!$F:$F,DataBase!$H:$H,"="&amp;MONTH(P$1),DataBase!$C:$C,"="&amp;$C7)=0,0,SUMIFS(DataBase!$F:$F,DataBase!$H:$H,"="&amp;MONTH(P$1),DataBase!$C:$C,"="&amp;$C7))</f>
        <v>0</v>
      </c>
      <c r="Q7" s="30">
        <f>IF(SUMIFS(DataBase!$F:$F,DataBase!$H:$H,"="&amp;MONTH(Q$1),DataBase!$C:$C,"="&amp;$C7)=0,0,SUMIFS(DataBase!$F:$F,DataBase!$H:$H,"="&amp;MONTH(Q$1),DataBase!$C:$C,"="&amp;$C7))</f>
        <v>0</v>
      </c>
      <c r="R7" s="30">
        <f>12*Identitas!$C$11-SUM(Daftar!F7:Q7)</f>
        <v>1440000</v>
      </c>
      <c r="S7" s="30">
        <f>SUMIFS(DataBase!I:I,DataBase!C:C,Daftar!C7)</f>
        <v>0</v>
      </c>
      <c r="T7" s="30">
        <f>SUMIFS(DataBase!J:J,DataBase!C:C,Daftar!C7)</f>
        <v>0</v>
      </c>
      <c r="U7" s="30">
        <f>SUMIFS(DataBase!K:K,DataBase!C:C,Daftar!C7)</f>
        <v>0</v>
      </c>
      <c r="V7" s="30">
        <f>SUMIFS(DataBase!L:L,DataBase!C:C,Daftar!C7)</f>
        <v>0</v>
      </c>
      <c r="W7" s="30">
        <f>SUMIFS(DataBase!M:M,DataBase!C:C,Daftar!C7)</f>
        <v>0</v>
      </c>
      <c r="X7" s="30">
        <f>SUMIFS(DataBase!N:N,DataBase!C:C,Daftar!C7)</f>
        <v>0</v>
      </c>
      <c r="Z7" s="30">
        <f>Identitas!$C$12-Daftar!S7</f>
        <v>1500000</v>
      </c>
      <c r="AA7" s="30">
        <f>Identitas!$C$13-Daftar!T7</f>
        <v>500000</v>
      </c>
      <c r="AB7" s="30">
        <f>Identitas!$C$14-Daftar!U7</f>
        <v>200000</v>
      </c>
      <c r="AC7" s="30">
        <f>Identitas!$C$15-Daftar!V7</f>
        <v>200000</v>
      </c>
      <c r="AD7" s="30">
        <f>Identitas!$C$16-Daftar!W7</f>
        <v>200000</v>
      </c>
      <c r="AE7" s="30">
        <f>Identitas!$C$17-Daftar!X7</f>
        <v>400000</v>
      </c>
      <c r="AF7" s="30">
        <f t="shared" si="0"/>
        <v>3000000</v>
      </c>
      <c r="AG7" s="30">
        <f>Tunggakan!H7</f>
        <v>0</v>
      </c>
      <c r="AH7" s="30">
        <f t="shared" si="1"/>
        <v>4440000</v>
      </c>
    </row>
    <row r="8" spans="1:34" x14ac:dyDescent="0.25">
      <c r="B8" s="51">
        <v>4</v>
      </c>
      <c r="C8" s="52">
        <v>1604</v>
      </c>
      <c r="D8" s="51" t="s">
        <v>7</v>
      </c>
      <c r="E8" s="51" t="s">
        <v>20</v>
      </c>
      <c r="F8" s="30">
        <f>IF(SUMIFS(DataBase!$F:$F,DataBase!$H:$H,"="&amp;MONTH(F$1),DataBase!$C:$C,"="&amp;$C8)=0,0,SUMIFS(DataBase!$F:$F,DataBase!$H:$H,"="&amp;MONTH(F$1),DataBase!$C:$C,"="&amp;$C8))</f>
        <v>0</v>
      </c>
      <c r="G8" s="30">
        <f>IF(SUMIFS(DataBase!$F:$F,DataBase!$H:$H,"="&amp;MONTH(G$1),DataBase!$C:$C,"="&amp;$C8)=0,0,SUMIFS(DataBase!$F:$F,DataBase!$H:$H,"="&amp;MONTH(G$1),DataBase!$C:$C,"="&amp;$C8))</f>
        <v>0</v>
      </c>
      <c r="H8" s="30">
        <f>IF(SUMIFS(DataBase!$F:$F,DataBase!$H:$H,"="&amp;MONTH(H$1),DataBase!$C:$C,"="&amp;$C8)=0,0,SUMIFS(DataBase!$F:$F,DataBase!$H:$H,"="&amp;MONTH(H$1),DataBase!$C:$C,"="&amp;$C8))</f>
        <v>0</v>
      </c>
      <c r="I8" s="30">
        <f>IF(SUMIFS(DataBase!$F:$F,DataBase!$H:$H,"="&amp;MONTH(I$1),DataBase!$C:$C,"="&amp;$C8)=0,0,SUMIFS(DataBase!$F:$F,DataBase!$H:$H,"="&amp;MONTH(I$1),DataBase!$C:$C,"="&amp;$C8))</f>
        <v>0</v>
      </c>
      <c r="J8" s="30">
        <f>IF(SUMIFS(DataBase!$F:$F,DataBase!$H:$H,"="&amp;MONTH(J$1),DataBase!$C:$C,"="&amp;$C8)=0,0,SUMIFS(DataBase!$F:$F,DataBase!$H:$H,"="&amp;MONTH(J$1),DataBase!$C:$C,"="&amp;$C8))</f>
        <v>0</v>
      </c>
      <c r="K8" s="30">
        <f>IF(SUMIFS(DataBase!$F:$F,DataBase!$H:$H,"="&amp;MONTH(K$1),DataBase!$C:$C,"="&amp;$C8)=0,0,SUMIFS(DataBase!$F:$F,DataBase!$H:$H,"="&amp;MONTH(K$1),DataBase!$C:$C,"="&amp;$C8))</f>
        <v>0</v>
      </c>
      <c r="L8" s="30">
        <f>IF(SUMIFS(DataBase!$F:$F,DataBase!$H:$H,"="&amp;MONTH(L$1),DataBase!$C:$C,"="&amp;$C8)=0,0,SUMIFS(DataBase!$F:$F,DataBase!$H:$H,"="&amp;MONTH(L$1),DataBase!$C:$C,"="&amp;$C8))</f>
        <v>0</v>
      </c>
      <c r="M8" s="30">
        <f>IF(SUMIFS(DataBase!$F:$F,DataBase!$H:$H,"="&amp;MONTH(M$1),DataBase!$C:$C,"="&amp;$C8)=0,0,SUMIFS(DataBase!$F:$F,DataBase!$H:$H,"="&amp;MONTH(M$1),DataBase!$C:$C,"="&amp;$C8))</f>
        <v>0</v>
      </c>
      <c r="N8" s="30">
        <f>IF(SUMIFS(DataBase!$F:$F,DataBase!$H:$H,"="&amp;MONTH(N$1),DataBase!$C:$C,"="&amp;$C8)=0,0,SUMIFS(DataBase!$F:$F,DataBase!$H:$H,"="&amp;MONTH(N$1),DataBase!$C:$C,"="&amp;$C8))</f>
        <v>0</v>
      </c>
      <c r="O8" s="30">
        <f>IF(SUMIFS(DataBase!$F:$F,DataBase!$H:$H,"="&amp;MONTH(O$1),DataBase!$C:$C,"="&amp;$C8)=0,0,SUMIFS(DataBase!$F:$F,DataBase!$H:$H,"="&amp;MONTH(O$1),DataBase!$C:$C,"="&amp;$C8))</f>
        <v>0</v>
      </c>
      <c r="P8" s="30">
        <f>IF(SUMIFS(DataBase!$F:$F,DataBase!$H:$H,"="&amp;MONTH(P$1),DataBase!$C:$C,"="&amp;$C8)=0,0,SUMIFS(DataBase!$F:$F,DataBase!$H:$H,"="&amp;MONTH(P$1),DataBase!$C:$C,"="&amp;$C8))</f>
        <v>0</v>
      </c>
      <c r="Q8" s="30">
        <f>IF(SUMIFS(DataBase!$F:$F,DataBase!$H:$H,"="&amp;MONTH(Q$1),DataBase!$C:$C,"="&amp;$C8)=0,0,SUMIFS(DataBase!$F:$F,DataBase!$H:$H,"="&amp;MONTH(Q$1),DataBase!$C:$C,"="&amp;$C8))</f>
        <v>0</v>
      </c>
      <c r="R8" s="30">
        <f>12*Identitas!$C$11-SUM(Daftar!F8:Q8)</f>
        <v>1440000</v>
      </c>
      <c r="S8" s="30">
        <f>SUMIFS(DataBase!I:I,DataBase!C:C,Daftar!C8)</f>
        <v>0</v>
      </c>
      <c r="T8" s="30">
        <f>SUMIFS(DataBase!J:J,DataBase!C:C,Daftar!C8)</f>
        <v>0</v>
      </c>
      <c r="U8" s="30">
        <f>SUMIFS(DataBase!K:K,DataBase!C:C,Daftar!C8)</f>
        <v>0</v>
      </c>
      <c r="V8" s="30">
        <f>SUMIFS(DataBase!L:L,DataBase!C:C,Daftar!C8)</f>
        <v>0</v>
      </c>
      <c r="W8" s="30">
        <f>SUMIFS(DataBase!M:M,DataBase!C:C,Daftar!C8)</f>
        <v>0</v>
      </c>
      <c r="X8" s="30">
        <f>SUMIFS(DataBase!N:N,DataBase!C:C,Daftar!C8)</f>
        <v>0</v>
      </c>
      <c r="Z8" s="30">
        <f>Identitas!$C$12-Daftar!S8</f>
        <v>1500000</v>
      </c>
      <c r="AA8" s="30">
        <f>Identitas!$C$13-Daftar!T8</f>
        <v>500000</v>
      </c>
      <c r="AB8" s="30">
        <f>Identitas!$C$14-Daftar!U8</f>
        <v>200000</v>
      </c>
      <c r="AC8" s="30">
        <f>Identitas!$C$15-Daftar!V8</f>
        <v>200000</v>
      </c>
      <c r="AD8" s="30">
        <f>Identitas!$C$16-Daftar!W8</f>
        <v>200000</v>
      </c>
      <c r="AE8" s="30">
        <f>Identitas!$C$17-Daftar!X8</f>
        <v>400000</v>
      </c>
      <c r="AF8" s="30">
        <f t="shared" si="0"/>
        <v>3000000</v>
      </c>
      <c r="AG8" s="30">
        <f>Tunggakan!H8</f>
        <v>0</v>
      </c>
      <c r="AH8" s="30">
        <f t="shared" si="1"/>
        <v>4440000</v>
      </c>
    </row>
    <row r="9" spans="1:34" x14ac:dyDescent="0.25">
      <c r="B9" s="51">
        <v>5</v>
      </c>
      <c r="C9" s="52">
        <v>1605</v>
      </c>
      <c r="D9" s="51" t="s">
        <v>8</v>
      </c>
      <c r="E9" s="51" t="s">
        <v>20</v>
      </c>
      <c r="F9" s="30">
        <f>IF(SUMIFS(DataBase!$F:$F,DataBase!$H:$H,"="&amp;MONTH(F$1),DataBase!$C:$C,"="&amp;$C9)=0,0,SUMIFS(DataBase!$F:$F,DataBase!$H:$H,"="&amp;MONTH(F$1),DataBase!$C:$C,"="&amp;$C9))</f>
        <v>0</v>
      </c>
      <c r="G9" s="30">
        <f>IF(SUMIFS(DataBase!$F:$F,DataBase!$H:$H,"="&amp;MONTH(G$1),DataBase!$C:$C,"="&amp;$C9)=0,0,SUMIFS(DataBase!$F:$F,DataBase!$H:$H,"="&amp;MONTH(G$1),DataBase!$C:$C,"="&amp;$C9))</f>
        <v>0</v>
      </c>
      <c r="H9" s="30">
        <f>IF(SUMIFS(DataBase!$F:$F,DataBase!$H:$H,"="&amp;MONTH(H$1),DataBase!$C:$C,"="&amp;$C9)=0,0,SUMIFS(DataBase!$F:$F,DataBase!$H:$H,"="&amp;MONTH(H$1),DataBase!$C:$C,"="&amp;$C9))</f>
        <v>0</v>
      </c>
      <c r="I9" s="30">
        <f>IF(SUMIFS(DataBase!$F:$F,DataBase!$H:$H,"="&amp;MONTH(I$1),DataBase!$C:$C,"="&amp;$C9)=0,0,SUMIFS(DataBase!$F:$F,DataBase!$H:$H,"="&amp;MONTH(I$1),DataBase!$C:$C,"="&amp;$C9))</f>
        <v>0</v>
      </c>
      <c r="J9" s="30">
        <f>IF(SUMIFS(DataBase!$F:$F,DataBase!$H:$H,"="&amp;MONTH(J$1),DataBase!$C:$C,"="&amp;$C9)=0,0,SUMIFS(DataBase!$F:$F,DataBase!$H:$H,"="&amp;MONTH(J$1),DataBase!$C:$C,"="&amp;$C9))</f>
        <v>0</v>
      </c>
      <c r="K9" s="30">
        <f>IF(SUMIFS(DataBase!$F:$F,DataBase!$H:$H,"="&amp;MONTH(K$1),DataBase!$C:$C,"="&amp;$C9)=0,0,SUMIFS(DataBase!$F:$F,DataBase!$H:$H,"="&amp;MONTH(K$1),DataBase!$C:$C,"="&amp;$C9))</f>
        <v>0</v>
      </c>
      <c r="L9" s="30">
        <f>IF(SUMIFS(DataBase!$F:$F,DataBase!$H:$H,"="&amp;MONTH(L$1),DataBase!$C:$C,"="&amp;$C9)=0,0,SUMIFS(DataBase!$F:$F,DataBase!$H:$H,"="&amp;MONTH(L$1),DataBase!$C:$C,"="&amp;$C9))</f>
        <v>0</v>
      </c>
      <c r="M9" s="30">
        <f>IF(SUMIFS(DataBase!$F:$F,DataBase!$H:$H,"="&amp;MONTH(M$1),DataBase!$C:$C,"="&amp;$C9)=0,0,SUMIFS(DataBase!$F:$F,DataBase!$H:$H,"="&amp;MONTH(M$1),DataBase!$C:$C,"="&amp;$C9))</f>
        <v>0</v>
      </c>
      <c r="N9" s="30">
        <f>IF(SUMIFS(DataBase!$F:$F,DataBase!$H:$H,"="&amp;MONTH(N$1),DataBase!$C:$C,"="&amp;$C9)=0,0,SUMIFS(DataBase!$F:$F,DataBase!$H:$H,"="&amp;MONTH(N$1),DataBase!$C:$C,"="&amp;$C9))</f>
        <v>0</v>
      </c>
      <c r="O9" s="30">
        <f>IF(SUMIFS(DataBase!$F:$F,DataBase!$H:$H,"="&amp;MONTH(O$1),DataBase!$C:$C,"="&amp;$C9)=0,0,SUMIFS(DataBase!$F:$F,DataBase!$H:$H,"="&amp;MONTH(O$1),DataBase!$C:$C,"="&amp;$C9))</f>
        <v>0</v>
      </c>
      <c r="P9" s="30">
        <f>IF(SUMIFS(DataBase!$F:$F,DataBase!$H:$H,"="&amp;MONTH(P$1),DataBase!$C:$C,"="&amp;$C9)=0,0,SUMIFS(DataBase!$F:$F,DataBase!$H:$H,"="&amp;MONTH(P$1),DataBase!$C:$C,"="&amp;$C9))</f>
        <v>0</v>
      </c>
      <c r="Q9" s="30">
        <f>IF(SUMIFS(DataBase!$F:$F,DataBase!$H:$H,"="&amp;MONTH(Q$1),DataBase!$C:$C,"="&amp;$C9)=0,0,SUMIFS(DataBase!$F:$F,DataBase!$H:$H,"="&amp;MONTH(Q$1),DataBase!$C:$C,"="&amp;$C9))</f>
        <v>0</v>
      </c>
      <c r="R9" s="30">
        <f>12*Identitas!$C$11-SUM(Daftar!F9:Q9)</f>
        <v>1440000</v>
      </c>
      <c r="S9" s="30">
        <f>SUMIFS(DataBase!I:I,DataBase!C:C,Daftar!C9)</f>
        <v>0</v>
      </c>
      <c r="T9" s="30">
        <f>SUMIFS(DataBase!J:J,DataBase!C:C,Daftar!C9)</f>
        <v>0</v>
      </c>
      <c r="U9" s="30">
        <f>SUMIFS(DataBase!K:K,DataBase!C:C,Daftar!C9)</f>
        <v>0</v>
      </c>
      <c r="V9" s="30">
        <f>SUMIFS(DataBase!L:L,DataBase!C:C,Daftar!C9)</f>
        <v>0</v>
      </c>
      <c r="W9" s="30">
        <f>SUMIFS(DataBase!M:M,DataBase!C:C,Daftar!C9)</f>
        <v>0</v>
      </c>
      <c r="X9" s="30">
        <f>SUMIFS(DataBase!N:N,DataBase!C:C,Daftar!C9)</f>
        <v>0</v>
      </c>
      <c r="Z9" s="30">
        <f>Identitas!$C$12-Daftar!S9</f>
        <v>1500000</v>
      </c>
      <c r="AA9" s="30">
        <f>Identitas!$C$13-Daftar!T9</f>
        <v>500000</v>
      </c>
      <c r="AB9" s="30">
        <f>Identitas!$C$14-Daftar!U9</f>
        <v>200000</v>
      </c>
      <c r="AC9" s="30">
        <f>Identitas!$C$15-Daftar!V9</f>
        <v>200000</v>
      </c>
      <c r="AD9" s="30">
        <f>Identitas!$C$16-Daftar!W9</f>
        <v>200000</v>
      </c>
      <c r="AE9" s="30">
        <f>Identitas!$C$17-Daftar!X9</f>
        <v>400000</v>
      </c>
      <c r="AF9" s="30">
        <f t="shared" si="0"/>
        <v>3000000</v>
      </c>
      <c r="AG9" s="30">
        <f>Tunggakan!H9</f>
        <v>0</v>
      </c>
      <c r="AH9" s="30">
        <f t="shared" si="1"/>
        <v>4440000</v>
      </c>
    </row>
    <row r="10" spans="1:34" x14ac:dyDescent="0.25">
      <c r="B10" s="51">
        <v>6</v>
      </c>
      <c r="C10" s="52">
        <v>1606</v>
      </c>
      <c r="D10" s="51" t="s">
        <v>9</v>
      </c>
      <c r="E10" s="51" t="s">
        <v>20</v>
      </c>
      <c r="F10" s="30">
        <f>IF(SUMIFS(DataBase!$F:$F,DataBase!$H:$H,"="&amp;MONTH(F$1),DataBase!$C:$C,"="&amp;$C10)=0,0,SUMIFS(DataBase!$F:$F,DataBase!$H:$H,"="&amp;MONTH(F$1),DataBase!$C:$C,"="&amp;$C10))</f>
        <v>0</v>
      </c>
      <c r="G10" s="30">
        <f>IF(SUMIFS(DataBase!$F:$F,DataBase!$H:$H,"="&amp;MONTH(G$1),DataBase!$C:$C,"="&amp;$C10)=0,0,SUMIFS(DataBase!$F:$F,DataBase!$H:$H,"="&amp;MONTH(G$1),DataBase!$C:$C,"="&amp;$C10))</f>
        <v>0</v>
      </c>
      <c r="H10" s="30">
        <f>IF(SUMIFS(DataBase!$F:$F,DataBase!$H:$H,"="&amp;MONTH(H$1),DataBase!$C:$C,"="&amp;$C10)=0,0,SUMIFS(DataBase!$F:$F,DataBase!$H:$H,"="&amp;MONTH(H$1),DataBase!$C:$C,"="&amp;$C10))</f>
        <v>0</v>
      </c>
      <c r="I10" s="30">
        <f>IF(SUMIFS(DataBase!$F:$F,DataBase!$H:$H,"="&amp;MONTH(I$1),DataBase!$C:$C,"="&amp;$C10)=0,0,SUMIFS(DataBase!$F:$F,DataBase!$H:$H,"="&amp;MONTH(I$1),DataBase!$C:$C,"="&amp;$C10))</f>
        <v>0</v>
      </c>
      <c r="J10" s="30">
        <f>IF(SUMIFS(DataBase!$F:$F,DataBase!$H:$H,"="&amp;MONTH(J$1),DataBase!$C:$C,"="&amp;$C10)=0,0,SUMIFS(DataBase!$F:$F,DataBase!$H:$H,"="&amp;MONTH(J$1),DataBase!$C:$C,"="&amp;$C10))</f>
        <v>0</v>
      </c>
      <c r="K10" s="30">
        <f>IF(SUMIFS(DataBase!$F:$F,DataBase!$H:$H,"="&amp;MONTH(K$1),DataBase!$C:$C,"="&amp;$C10)=0,0,SUMIFS(DataBase!$F:$F,DataBase!$H:$H,"="&amp;MONTH(K$1),DataBase!$C:$C,"="&amp;$C10))</f>
        <v>0</v>
      </c>
      <c r="L10" s="30">
        <f>IF(SUMIFS(DataBase!$F:$F,DataBase!$H:$H,"="&amp;MONTH(L$1),DataBase!$C:$C,"="&amp;$C10)=0,0,SUMIFS(DataBase!$F:$F,DataBase!$H:$H,"="&amp;MONTH(L$1),DataBase!$C:$C,"="&amp;$C10))</f>
        <v>0</v>
      </c>
      <c r="M10" s="30">
        <f>IF(SUMIFS(DataBase!$F:$F,DataBase!$H:$H,"="&amp;MONTH(M$1),DataBase!$C:$C,"="&amp;$C10)=0,0,SUMIFS(DataBase!$F:$F,DataBase!$H:$H,"="&amp;MONTH(M$1),DataBase!$C:$C,"="&amp;$C10))</f>
        <v>0</v>
      </c>
      <c r="N10" s="30">
        <f>IF(SUMIFS(DataBase!$F:$F,DataBase!$H:$H,"="&amp;MONTH(N$1),DataBase!$C:$C,"="&amp;$C10)=0,0,SUMIFS(DataBase!$F:$F,DataBase!$H:$H,"="&amp;MONTH(N$1),DataBase!$C:$C,"="&amp;$C10))</f>
        <v>0</v>
      </c>
      <c r="O10" s="30">
        <f>IF(SUMIFS(DataBase!$F:$F,DataBase!$H:$H,"="&amp;MONTH(O$1),DataBase!$C:$C,"="&amp;$C10)=0,0,SUMIFS(DataBase!$F:$F,DataBase!$H:$H,"="&amp;MONTH(O$1),DataBase!$C:$C,"="&amp;$C10))</f>
        <v>0</v>
      </c>
      <c r="P10" s="30">
        <f>IF(SUMIFS(DataBase!$F:$F,DataBase!$H:$H,"="&amp;MONTH(P$1),DataBase!$C:$C,"="&amp;$C10)=0,0,SUMIFS(DataBase!$F:$F,DataBase!$H:$H,"="&amp;MONTH(P$1),DataBase!$C:$C,"="&amp;$C10))</f>
        <v>0</v>
      </c>
      <c r="Q10" s="30">
        <f>IF(SUMIFS(DataBase!$F:$F,DataBase!$H:$H,"="&amp;MONTH(Q$1),DataBase!$C:$C,"="&amp;$C10)=0,0,SUMIFS(DataBase!$F:$F,DataBase!$H:$H,"="&amp;MONTH(Q$1),DataBase!$C:$C,"="&amp;$C10))</f>
        <v>0</v>
      </c>
      <c r="R10" s="30">
        <f>12*Identitas!$C$11-SUM(Daftar!F10:Q10)</f>
        <v>1440000</v>
      </c>
      <c r="S10" s="30">
        <f>SUMIFS(DataBase!I:I,DataBase!C:C,Daftar!C10)</f>
        <v>0</v>
      </c>
      <c r="T10" s="30">
        <f>SUMIFS(DataBase!J:J,DataBase!C:C,Daftar!C10)</f>
        <v>0</v>
      </c>
      <c r="U10" s="30">
        <f>SUMIFS(DataBase!K:K,DataBase!C:C,Daftar!C10)</f>
        <v>0</v>
      </c>
      <c r="V10" s="30">
        <f>SUMIFS(DataBase!L:L,DataBase!C:C,Daftar!C10)</f>
        <v>0</v>
      </c>
      <c r="W10" s="30">
        <f>SUMIFS(DataBase!M:M,DataBase!C:C,Daftar!C10)</f>
        <v>0</v>
      </c>
      <c r="X10" s="30">
        <f>SUMIFS(DataBase!N:N,DataBase!C:C,Daftar!C10)</f>
        <v>0</v>
      </c>
      <c r="Z10" s="30">
        <f>Identitas!$C$12-Daftar!S10</f>
        <v>1500000</v>
      </c>
      <c r="AA10" s="30">
        <f>Identitas!$C$13-Daftar!T10</f>
        <v>500000</v>
      </c>
      <c r="AB10" s="30">
        <f>Identitas!$C$14-Daftar!U10</f>
        <v>200000</v>
      </c>
      <c r="AC10" s="30">
        <f>Identitas!$C$15-Daftar!V10</f>
        <v>200000</v>
      </c>
      <c r="AD10" s="30">
        <f>Identitas!$C$16-Daftar!W10</f>
        <v>200000</v>
      </c>
      <c r="AE10" s="30">
        <f>Identitas!$C$17-Daftar!X10</f>
        <v>400000</v>
      </c>
      <c r="AF10" s="30">
        <f t="shared" si="0"/>
        <v>3000000</v>
      </c>
      <c r="AG10" s="30">
        <f>Tunggakan!H10</f>
        <v>0</v>
      </c>
      <c r="AH10" s="30">
        <f>R10+AF10+AG10</f>
        <v>4440000</v>
      </c>
    </row>
    <row r="11" spans="1:34" x14ac:dyDescent="0.25">
      <c r="B11" s="51">
        <v>7</v>
      </c>
      <c r="C11" s="52">
        <v>1607</v>
      </c>
      <c r="D11" s="51" t="s">
        <v>10</v>
      </c>
      <c r="E11" s="51" t="s">
        <v>20</v>
      </c>
      <c r="F11" s="30">
        <f>IF(SUMIFS(DataBase!$F:$F,DataBase!$H:$H,"="&amp;MONTH(F$1),DataBase!$C:$C,"="&amp;$C11)=0,0,SUMIFS(DataBase!$F:$F,DataBase!$H:$H,"="&amp;MONTH(F$1),DataBase!$C:$C,"="&amp;$C11))</f>
        <v>0</v>
      </c>
      <c r="G11" s="30">
        <f>IF(SUMIFS(DataBase!$F:$F,DataBase!$H:$H,"="&amp;MONTH(G$1),DataBase!$C:$C,"="&amp;$C11)=0,0,SUMIFS(DataBase!$F:$F,DataBase!$H:$H,"="&amp;MONTH(G$1),DataBase!$C:$C,"="&amp;$C11))</f>
        <v>0</v>
      </c>
      <c r="H11" s="30">
        <f>IF(SUMIFS(DataBase!$F:$F,DataBase!$H:$H,"="&amp;MONTH(H$1),DataBase!$C:$C,"="&amp;$C11)=0,0,SUMIFS(DataBase!$F:$F,DataBase!$H:$H,"="&amp;MONTH(H$1),DataBase!$C:$C,"="&amp;$C11))</f>
        <v>0</v>
      </c>
      <c r="I11" s="30">
        <f>IF(SUMIFS(DataBase!$F:$F,DataBase!$H:$H,"="&amp;MONTH(I$1),DataBase!$C:$C,"="&amp;$C11)=0,0,SUMIFS(DataBase!$F:$F,DataBase!$H:$H,"="&amp;MONTH(I$1),DataBase!$C:$C,"="&amp;$C11))</f>
        <v>0</v>
      </c>
      <c r="J11" s="30">
        <f>IF(SUMIFS(DataBase!$F:$F,DataBase!$H:$H,"="&amp;MONTH(J$1),DataBase!$C:$C,"="&amp;$C11)=0,0,SUMIFS(DataBase!$F:$F,DataBase!$H:$H,"="&amp;MONTH(J$1),DataBase!$C:$C,"="&amp;$C11))</f>
        <v>0</v>
      </c>
      <c r="K11" s="30">
        <f>IF(SUMIFS(DataBase!$F:$F,DataBase!$H:$H,"="&amp;MONTH(K$1),DataBase!$C:$C,"="&amp;$C11)=0,0,SUMIFS(DataBase!$F:$F,DataBase!$H:$H,"="&amp;MONTH(K$1),DataBase!$C:$C,"="&amp;$C11))</f>
        <v>0</v>
      </c>
      <c r="L11" s="30">
        <f>IF(SUMIFS(DataBase!$F:$F,DataBase!$H:$H,"="&amp;MONTH(L$1),DataBase!$C:$C,"="&amp;$C11)=0,0,SUMIFS(DataBase!$F:$F,DataBase!$H:$H,"="&amp;MONTH(L$1),DataBase!$C:$C,"="&amp;$C11))</f>
        <v>0</v>
      </c>
      <c r="M11" s="30">
        <f>IF(SUMIFS(DataBase!$F:$F,DataBase!$H:$H,"="&amp;MONTH(M$1),DataBase!$C:$C,"="&amp;$C11)=0,0,SUMIFS(DataBase!$F:$F,DataBase!$H:$H,"="&amp;MONTH(M$1),DataBase!$C:$C,"="&amp;$C11))</f>
        <v>0</v>
      </c>
      <c r="N11" s="30">
        <f>IF(SUMIFS(DataBase!$F:$F,DataBase!$H:$H,"="&amp;MONTH(N$1),DataBase!$C:$C,"="&amp;$C11)=0,0,SUMIFS(DataBase!$F:$F,DataBase!$H:$H,"="&amp;MONTH(N$1),DataBase!$C:$C,"="&amp;$C11))</f>
        <v>0</v>
      </c>
      <c r="O11" s="30">
        <f>IF(SUMIFS(DataBase!$F:$F,DataBase!$H:$H,"="&amp;MONTH(O$1),DataBase!$C:$C,"="&amp;$C11)=0,0,SUMIFS(DataBase!$F:$F,DataBase!$H:$H,"="&amp;MONTH(O$1),DataBase!$C:$C,"="&amp;$C11))</f>
        <v>0</v>
      </c>
      <c r="P11" s="30">
        <f>IF(SUMIFS(DataBase!$F:$F,DataBase!$H:$H,"="&amp;MONTH(P$1),DataBase!$C:$C,"="&amp;$C11)=0,0,SUMIFS(DataBase!$F:$F,DataBase!$H:$H,"="&amp;MONTH(P$1),DataBase!$C:$C,"="&amp;$C11))</f>
        <v>0</v>
      </c>
      <c r="Q11" s="30">
        <f>IF(SUMIFS(DataBase!$F:$F,DataBase!$H:$H,"="&amp;MONTH(Q$1),DataBase!$C:$C,"="&amp;$C11)=0,0,SUMIFS(DataBase!$F:$F,DataBase!$H:$H,"="&amp;MONTH(Q$1),DataBase!$C:$C,"="&amp;$C11))</f>
        <v>0</v>
      </c>
      <c r="R11" s="30">
        <f>12*Identitas!$C$11-SUM(Daftar!F11:Q11)</f>
        <v>1440000</v>
      </c>
      <c r="S11" s="30">
        <f>SUMIFS(DataBase!I:I,DataBase!C:C,Daftar!C11)</f>
        <v>0</v>
      </c>
      <c r="T11" s="30">
        <f>SUMIFS(DataBase!J:J,DataBase!C:C,Daftar!C11)</f>
        <v>0</v>
      </c>
      <c r="U11" s="30">
        <f>SUMIFS(DataBase!K:K,DataBase!C:C,Daftar!C11)</f>
        <v>0</v>
      </c>
      <c r="V11" s="30">
        <f>SUMIFS(DataBase!L:L,DataBase!C:C,Daftar!C11)</f>
        <v>0</v>
      </c>
      <c r="W11" s="30">
        <f>SUMIFS(DataBase!M:M,DataBase!C:C,Daftar!C11)</f>
        <v>0</v>
      </c>
      <c r="X11" s="30">
        <f>SUMIFS(DataBase!N:N,DataBase!C:C,Daftar!C11)</f>
        <v>0</v>
      </c>
      <c r="Z11" s="30">
        <f>Identitas!$C$12-Daftar!S11</f>
        <v>1500000</v>
      </c>
      <c r="AA11" s="30">
        <f>Identitas!$C$13-Daftar!T11</f>
        <v>500000</v>
      </c>
      <c r="AB11" s="30">
        <f>Identitas!$C$14-Daftar!U11</f>
        <v>200000</v>
      </c>
      <c r="AC11" s="30">
        <f>Identitas!$C$15-Daftar!V11</f>
        <v>200000</v>
      </c>
      <c r="AD11" s="30">
        <f>Identitas!$C$16-Daftar!W11</f>
        <v>200000</v>
      </c>
      <c r="AE11" s="30">
        <f>Identitas!$C$17-Daftar!X11</f>
        <v>400000</v>
      </c>
      <c r="AF11" s="30">
        <f t="shared" si="0"/>
        <v>3000000</v>
      </c>
      <c r="AG11" s="30">
        <f>Tunggakan!H11</f>
        <v>0</v>
      </c>
      <c r="AH11" s="30">
        <f t="shared" ref="AH11:AH24" si="2">R11+AF11+AG11</f>
        <v>4440000</v>
      </c>
    </row>
    <row r="12" spans="1:34" x14ac:dyDescent="0.25">
      <c r="B12" s="51">
        <v>8</v>
      </c>
      <c r="C12" s="52">
        <v>1608</v>
      </c>
      <c r="D12" s="51" t="s">
        <v>11</v>
      </c>
      <c r="E12" s="51" t="s">
        <v>20</v>
      </c>
      <c r="F12" s="30">
        <f>IF(SUMIFS(DataBase!$F:$F,DataBase!$H:$H,"="&amp;MONTH(F$1),DataBase!$C:$C,"="&amp;$C12)=0,0,SUMIFS(DataBase!$F:$F,DataBase!$H:$H,"="&amp;MONTH(F$1),DataBase!$C:$C,"="&amp;$C12))</f>
        <v>0</v>
      </c>
      <c r="G12" s="30">
        <f>IF(SUMIFS(DataBase!$F:$F,DataBase!$H:$H,"="&amp;MONTH(G$1),DataBase!$C:$C,"="&amp;$C12)=0,0,SUMIFS(DataBase!$F:$F,DataBase!$H:$H,"="&amp;MONTH(G$1),DataBase!$C:$C,"="&amp;$C12))</f>
        <v>0</v>
      </c>
      <c r="H12" s="30">
        <f>IF(SUMIFS(DataBase!$F:$F,DataBase!$H:$H,"="&amp;MONTH(H$1),DataBase!$C:$C,"="&amp;$C12)=0,0,SUMIFS(DataBase!$F:$F,DataBase!$H:$H,"="&amp;MONTH(H$1),DataBase!$C:$C,"="&amp;$C12))</f>
        <v>0</v>
      </c>
      <c r="I12" s="30">
        <f>IF(SUMIFS(DataBase!$F:$F,DataBase!$H:$H,"="&amp;MONTH(I$1),DataBase!$C:$C,"="&amp;$C12)=0,0,SUMIFS(DataBase!$F:$F,DataBase!$H:$H,"="&amp;MONTH(I$1),DataBase!$C:$C,"="&amp;$C12))</f>
        <v>0</v>
      </c>
      <c r="J12" s="30">
        <f>IF(SUMIFS(DataBase!$F:$F,DataBase!$H:$H,"="&amp;MONTH(J$1),DataBase!$C:$C,"="&amp;$C12)=0,0,SUMIFS(DataBase!$F:$F,DataBase!$H:$H,"="&amp;MONTH(J$1),DataBase!$C:$C,"="&amp;$C12))</f>
        <v>0</v>
      </c>
      <c r="K12" s="30">
        <f>IF(SUMIFS(DataBase!$F:$F,DataBase!$H:$H,"="&amp;MONTH(K$1),DataBase!$C:$C,"="&amp;$C12)=0,0,SUMIFS(DataBase!$F:$F,DataBase!$H:$H,"="&amp;MONTH(K$1),DataBase!$C:$C,"="&amp;$C12))</f>
        <v>0</v>
      </c>
      <c r="L12" s="30">
        <f>IF(SUMIFS(DataBase!$F:$F,DataBase!$H:$H,"="&amp;MONTH(L$1),DataBase!$C:$C,"="&amp;$C12)=0,0,SUMIFS(DataBase!$F:$F,DataBase!$H:$H,"="&amp;MONTH(L$1),DataBase!$C:$C,"="&amp;$C12))</f>
        <v>0</v>
      </c>
      <c r="M12" s="30">
        <f>IF(SUMIFS(DataBase!$F:$F,DataBase!$H:$H,"="&amp;MONTH(M$1),DataBase!$C:$C,"="&amp;$C12)=0,0,SUMIFS(DataBase!$F:$F,DataBase!$H:$H,"="&amp;MONTH(M$1),DataBase!$C:$C,"="&amp;$C12))</f>
        <v>0</v>
      </c>
      <c r="N12" s="30">
        <f>IF(SUMIFS(DataBase!$F:$F,DataBase!$H:$H,"="&amp;MONTH(N$1),DataBase!$C:$C,"="&amp;$C12)=0,0,SUMIFS(DataBase!$F:$F,DataBase!$H:$H,"="&amp;MONTH(N$1),DataBase!$C:$C,"="&amp;$C12))</f>
        <v>0</v>
      </c>
      <c r="O12" s="30">
        <f>IF(SUMIFS(DataBase!$F:$F,DataBase!$H:$H,"="&amp;MONTH(O$1),DataBase!$C:$C,"="&amp;$C12)=0,0,SUMIFS(DataBase!$F:$F,DataBase!$H:$H,"="&amp;MONTH(O$1),DataBase!$C:$C,"="&amp;$C12))</f>
        <v>0</v>
      </c>
      <c r="P12" s="30">
        <f>IF(SUMIFS(DataBase!$F:$F,DataBase!$H:$H,"="&amp;MONTH(P$1),DataBase!$C:$C,"="&amp;$C12)=0,0,SUMIFS(DataBase!$F:$F,DataBase!$H:$H,"="&amp;MONTH(P$1),DataBase!$C:$C,"="&amp;$C12))</f>
        <v>0</v>
      </c>
      <c r="Q12" s="30">
        <f>IF(SUMIFS(DataBase!$F:$F,DataBase!$H:$H,"="&amp;MONTH(Q$1),DataBase!$C:$C,"="&amp;$C12)=0,0,SUMIFS(DataBase!$F:$F,DataBase!$H:$H,"="&amp;MONTH(Q$1),DataBase!$C:$C,"="&amp;$C12))</f>
        <v>0</v>
      </c>
      <c r="R12" s="30">
        <f>12*Identitas!$C$11-SUM(Daftar!F12:Q12)</f>
        <v>1440000</v>
      </c>
      <c r="S12" s="30">
        <f>SUMIFS(DataBase!I:I,DataBase!C:C,Daftar!C12)</f>
        <v>0</v>
      </c>
      <c r="T12" s="30">
        <f>SUMIFS(DataBase!J:J,DataBase!C:C,Daftar!C12)</f>
        <v>0</v>
      </c>
      <c r="U12" s="30">
        <f>SUMIFS(DataBase!K:K,DataBase!C:C,Daftar!C12)</f>
        <v>0</v>
      </c>
      <c r="V12" s="30">
        <f>SUMIFS(DataBase!L:L,DataBase!C:C,Daftar!C12)</f>
        <v>0</v>
      </c>
      <c r="W12" s="30">
        <f>SUMIFS(DataBase!M:M,DataBase!C:C,Daftar!C12)</f>
        <v>0</v>
      </c>
      <c r="X12" s="30">
        <f>SUMIFS(DataBase!N:N,DataBase!C:C,Daftar!C12)</f>
        <v>0</v>
      </c>
      <c r="Z12" s="30">
        <f>Identitas!$C$12-Daftar!S12</f>
        <v>1500000</v>
      </c>
      <c r="AA12" s="30">
        <f>Identitas!$C$13-Daftar!T12</f>
        <v>500000</v>
      </c>
      <c r="AB12" s="30">
        <f>Identitas!$C$14-Daftar!U12</f>
        <v>200000</v>
      </c>
      <c r="AC12" s="30">
        <f>Identitas!$C$15-Daftar!V12</f>
        <v>200000</v>
      </c>
      <c r="AD12" s="30">
        <f>Identitas!$C$16-Daftar!W12</f>
        <v>200000</v>
      </c>
      <c r="AE12" s="30">
        <f>Identitas!$C$17-Daftar!X12</f>
        <v>400000</v>
      </c>
      <c r="AF12" s="30">
        <f t="shared" si="0"/>
        <v>3000000</v>
      </c>
      <c r="AG12" s="30">
        <f>Tunggakan!H12</f>
        <v>0</v>
      </c>
      <c r="AH12" s="30">
        <f t="shared" si="2"/>
        <v>4440000</v>
      </c>
    </row>
    <row r="13" spans="1:34" x14ac:dyDescent="0.25">
      <c r="B13" s="51">
        <v>9</v>
      </c>
      <c r="C13" s="52">
        <v>1609</v>
      </c>
      <c r="D13" s="51" t="s">
        <v>12</v>
      </c>
      <c r="E13" s="51" t="s">
        <v>20</v>
      </c>
      <c r="F13" s="30">
        <f>IF(SUMIFS(DataBase!$F:$F,DataBase!$H:$H,"="&amp;MONTH(F$1),DataBase!$C:$C,"="&amp;$C13)=0,0,SUMIFS(DataBase!$F:$F,DataBase!$H:$H,"="&amp;MONTH(F$1),DataBase!$C:$C,"="&amp;$C13))</f>
        <v>0</v>
      </c>
      <c r="G13" s="30">
        <f>IF(SUMIFS(DataBase!$F:$F,DataBase!$H:$H,"="&amp;MONTH(G$1),DataBase!$C:$C,"="&amp;$C13)=0,0,SUMIFS(DataBase!$F:$F,DataBase!$H:$H,"="&amp;MONTH(G$1),DataBase!$C:$C,"="&amp;$C13))</f>
        <v>0</v>
      </c>
      <c r="H13" s="30">
        <f>IF(SUMIFS(DataBase!$F:$F,DataBase!$H:$H,"="&amp;MONTH(H$1),DataBase!$C:$C,"="&amp;$C13)=0,0,SUMIFS(DataBase!$F:$F,DataBase!$H:$H,"="&amp;MONTH(H$1),DataBase!$C:$C,"="&amp;$C13))</f>
        <v>0</v>
      </c>
      <c r="I13" s="30">
        <f>IF(SUMIFS(DataBase!$F:$F,DataBase!$H:$H,"="&amp;MONTH(I$1),DataBase!$C:$C,"="&amp;$C13)=0,0,SUMIFS(DataBase!$F:$F,DataBase!$H:$H,"="&amp;MONTH(I$1),DataBase!$C:$C,"="&amp;$C13))</f>
        <v>0</v>
      </c>
      <c r="J13" s="30">
        <f>IF(SUMIFS(DataBase!$F:$F,DataBase!$H:$H,"="&amp;MONTH(J$1),DataBase!$C:$C,"="&amp;$C13)=0,0,SUMIFS(DataBase!$F:$F,DataBase!$H:$H,"="&amp;MONTH(J$1),DataBase!$C:$C,"="&amp;$C13))</f>
        <v>0</v>
      </c>
      <c r="K13" s="30">
        <f>IF(SUMIFS(DataBase!$F:$F,DataBase!$H:$H,"="&amp;MONTH(K$1),DataBase!$C:$C,"="&amp;$C13)=0,0,SUMIFS(DataBase!$F:$F,DataBase!$H:$H,"="&amp;MONTH(K$1),DataBase!$C:$C,"="&amp;$C13))</f>
        <v>0</v>
      </c>
      <c r="L13" s="30">
        <f>IF(SUMIFS(DataBase!$F:$F,DataBase!$H:$H,"="&amp;MONTH(L$1),DataBase!$C:$C,"="&amp;$C13)=0,0,SUMIFS(DataBase!$F:$F,DataBase!$H:$H,"="&amp;MONTH(L$1),DataBase!$C:$C,"="&amp;$C13))</f>
        <v>0</v>
      </c>
      <c r="M13" s="30">
        <f>IF(SUMIFS(DataBase!$F:$F,DataBase!$H:$H,"="&amp;MONTH(M$1),DataBase!$C:$C,"="&amp;$C13)=0,0,SUMIFS(DataBase!$F:$F,DataBase!$H:$H,"="&amp;MONTH(M$1),DataBase!$C:$C,"="&amp;$C13))</f>
        <v>0</v>
      </c>
      <c r="N13" s="30">
        <f>IF(SUMIFS(DataBase!$F:$F,DataBase!$H:$H,"="&amp;MONTH(N$1),DataBase!$C:$C,"="&amp;$C13)=0,0,SUMIFS(DataBase!$F:$F,DataBase!$H:$H,"="&amp;MONTH(N$1),DataBase!$C:$C,"="&amp;$C13))</f>
        <v>0</v>
      </c>
      <c r="O13" s="30">
        <f>IF(SUMIFS(DataBase!$F:$F,DataBase!$H:$H,"="&amp;MONTH(O$1),DataBase!$C:$C,"="&amp;$C13)=0,0,SUMIFS(DataBase!$F:$F,DataBase!$H:$H,"="&amp;MONTH(O$1),DataBase!$C:$C,"="&amp;$C13))</f>
        <v>0</v>
      </c>
      <c r="P13" s="30">
        <f>IF(SUMIFS(DataBase!$F:$F,DataBase!$H:$H,"="&amp;MONTH(P$1),DataBase!$C:$C,"="&amp;$C13)=0,0,SUMIFS(DataBase!$F:$F,DataBase!$H:$H,"="&amp;MONTH(P$1),DataBase!$C:$C,"="&amp;$C13))</f>
        <v>0</v>
      </c>
      <c r="Q13" s="30">
        <f>IF(SUMIFS(DataBase!$F:$F,DataBase!$H:$H,"="&amp;MONTH(Q$1),DataBase!$C:$C,"="&amp;$C13)=0,0,SUMIFS(DataBase!$F:$F,DataBase!$H:$H,"="&amp;MONTH(Q$1),DataBase!$C:$C,"="&amp;$C13))</f>
        <v>0</v>
      </c>
      <c r="R13" s="30">
        <f>12*Identitas!$C$11-SUM(Daftar!F13:Q13)</f>
        <v>1440000</v>
      </c>
      <c r="S13" s="30">
        <f>SUMIFS(DataBase!I:I,DataBase!C:C,Daftar!C13)</f>
        <v>0</v>
      </c>
      <c r="T13" s="30">
        <f>SUMIFS(DataBase!J:J,DataBase!C:C,Daftar!C13)</f>
        <v>0</v>
      </c>
      <c r="U13" s="30">
        <f>SUMIFS(DataBase!K:K,DataBase!C:C,Daftar!C13)</f>
        <v>0</v>
      </c>
      <c r="V13" s="30">
        <f>SUMIFS(DataBase!L:L,DataBase!C:C,Daftar!C13)</f>
        <v>0</v>
      </c>
      <c r="W13" s="30">
        <f>SUMIFS(DataBase!M:M,DataBase!C:C,Daftar!C13)</f>
        <v>0</v>
      </c>
      <c r="X13" s="30">
        <f>SUMIFS(DataBase!N:N,DataBase!C:C,Daftar!C13)</f>
        <v>0</v>
      </c>
      <c r="Z13" s="30">
        <f>Identitas!$C$12-Daftar!S13</f>
        <v>1500000</v>
      </c>
      <c r="AA13" s="30">
        <f>Identitas!$C$13-Daftar!T13</f>
        <v>500000</v>
      </c>
      <c r="AB13" s="30">
        <f>Identitas!$C$14-Daftar!U13</f>
        <v>200000</v>
      </c>
      <c r="AC13" s="30">
        <f>Identitas!$C$15-Daftar!V13</f>
        <v>200000</v>
      </c>
      <c r="AD13" s="30">
        <f>Identitas!$C$16-Daftar!W13</f>
        <v>200000</v>
      </c>
      <c r="AE13" s="30">
        <f>Identitas!$C$17-Daftar!X13</f>
        <v>400000</v>
      </c>
      <c r="AF13" s="30">
        <f t="shared" si="0"/>
        <v>3000000</v>
      </c>
      <c r="AG13" s="30">
        <f>Tunggakan!H13</f>
        <v>0</v>
      </c>
      <c r="AH13" s="30">
        <f t="shared" si="2"/>
        <v>4440000</v>
      </c>
    </row>
    <row r="14" spans="1:34" x14ac:dyDescent="0.25">
      <c r="B14" s="51">
        <v>10</v>
      </c>
      <c r="C14" s="52">
        <v>1610</v>
      </c>
      <c r="D14" s="51" t="s">
        <v>13</v>
      </c>
      <c r="E14" s="51" t="s">
        <v>20</v>
      </c>
      <c r="F14" s="30">
        <f>IF(SUMIFS(DataBase!$F:$F,DataBase!$H:$H,"="&amp;MONTH(F$1),DataBase!$C:$C,"="&amp;$C14)=0,0,SUMIFS(DataBase!$F:$F,DataBase!$H:$H,"="&amp;MONTH(F$1),DataBase!$C:$C,"="&amp;$C14))</f>
        <v>0</v>
      </c>
      <c r="G14" s="30">
        <f>IF(SUMIFS(DataBase!$F:$F,DataBase!$H:$H,"="&amp;MONTH(G$1),DataBase!$C:$C,"="&amp;$C14)=0,0,SUMIFS(DataBase!$F:$F,DataBase!$H:$H,"="&amp;MONTH(G$1),DataBase!$C:$C,"="&amp;$C14))</f>
        <v>0</v>
      </c>
      <c r="H14" s="30">
        <f>IF(SUMIFS(DataBase!$F:$F,DataBase!$H:$H,"="&amp;MONTH(H$1),DataBase!$C:$C,"="&amp;$C14)=0,0,SUMIFS(DataBase!$F:$F,DataBase!$H:$H,"="&amp;MONTH(H$1),DataBase!$C:$C,"="&amp;$C14))</f>
        <v>0</v>
      </c>
      <c r="I14" s="30">
        <f>IF(SUMIFS(DataBase!$F:$F,DataBase!$H:$H,"="&amp;MONTH(I$1),DataBase!$C:$C,"="&amp;$C14)=0,0,SUMIFS(DataBase!$F:$F,DataBase!$H:$H,"="&amp;MONTH(I$1),DataBase!$C:$C,"="&amp;$C14))</f>
        <v>0</v>
      </c>
      <c r="J14" s="30">
        <f>IF(SUMIFS(DataBase!$F:$F,DataBase!$H:$H,"="&amp;MONTH(J$1),DataBase!$C:$C,"="&amp;$C14)=0,0,SUMIFS(DataBase!$F:$F,DataBase!$H:$H,"="&amp;MONTH(J$1),DataBase!$C:$C,"="&amp;$C14))</f>
        <v>0</v>
      </c>
      <c r="K14" s="30">
        <f>IF(SUMIFS(DataBase!$F:$F,DataBase!$H:$H,"="&amp;MONTH(K$1),DataBase!$C:$C,"="&amp;$C14)=0,0,SUMIFS(DataBase!$F:$F,DataBase!$H:$H,"="&amp;MONTH(K$1),DataBase!$C:$C,"="&amp;$C14))</f>
        <v>0</v>
      </c>
      <c r="L14" s="30">
        <f>IF(SUMIFS(DataBase!$F:$F,DataBase!$H:$H,"="&amp;MONTH(L$1),DataBase!$C:$C,"="&amp;$C14)=0,0,SUMIFS(DataBase!$F:$F,DataBase!$H:$H,"="&amp;MONTH(L$1),DataBase!$C:$C,"="&amp;$C14))</f>
        <v>0</v>
      </c>
      <c r="M14" s="30">
        <f>IF(SUMIFS(DataBase!$F:$F,DataBase!$H:$H,"="&amp;MONTH(M$1),DataBase!$C:$C,"="&amp;$C14)=0,0,SUMIFS(DataBase!$F:$F,DataBase!$H:$H,"="&amp;MONTH(M$1),DataBase!$C:$C,"="&amp;$C14))</f>
        <v>0</v>
      </c>
      <c r="N14" s="30">
        <f>IF(SUMIFS(DataBase!$F:$F,DataBase!$H:$H,"="&amp;MONTH(N$1),DataBase!$C:$C,"="&amp;$C14)=0,0,SUMIFS(DataBase!$F:$F,DataBase!$H:$H,"="&amp;MONTH(N$1),DataBase!$C:$C,"="&amp;$C14))</f>
        <v>0</v>
      </c>
      <c r="O14" s="30">
        <f>IF(SUMIFS(DataBase!$F:$F,DataBase!$H:$H,"="&amp;MONTH(O$1),DataBase!$C:$C,"="&amp;$C14)=0,0,SUMIFS(DataBase!$F:$F,DataBase!$H:$H,"="&amp;MONTH(O$1),DataBase!$C:$C,"="&amp;$C14))</f>
        <v>0</v>
      </c>
      <c r="P14" s="30">
        <f>IF(SUMIFS(DataBase!$F:$F,DataBase!$H:$H,"="&amp;MONTH(P$1),DataBase!$C:$C,"="&amp;$C14)=0,0,SUMIFS(DataBase!$F:$F,DataBase!$H:$H,"="&amp;MONTH(P$1),DataBase!$C:$C,"="&amp;$C14))</f>
        <v>0</v>
      </c>
      <c r="Q14" s="30">
        <f>IF(SUMIFS(DataBase!$F:$F,DataBase!$H:$H,"="&amp;MONTH(Q$1),DataBase!$C:$C,"="&amp;$C14)=0,0,SUMIFS(DataBase!$F:$F,DataBase!$H:$H,"="&amp;MONTH(Q$1),DataBase!$C:$C,"="&amp;$C14))</f>
        <v>0</v>
      </c>
      <c r="R14" s="30">
        <f>12*Identitas!$C$11-SUM(Daftar!F14:Q14)</f>
        <v>1440000</v>
      </c>
      <c r="S14" s="30">
        <f>SUMIFS(DataBase!I:I,DataBase!C:C,Daftar!C14)</f>
        <v>0</v>
      </c>
      <c r="T14" s="30">
        <f>SUMIFS(DataBase!J:J,DataBase!C:C,Daftar!C14)</f>
        <v>0</v>
      </c>
      <c r="U14" s="30">
        <f>SUMIFS(DataBase!K:K,DataBase!C:C,Daftar!C14)</f>
        <v>0</v>
      </c>
      <c r="V14" s="30">
        <f>SUMIFS(DataBase!L:L,DataBase!C:C,Daftar!C14)</f>
        <v>0</v>
      </c>
      <c r="W14" s="30">
        <f>SUMIFS(DataBase!M:M,DataBase!C:C,Daftar!C14)</f>
        <v>0</v>
      </c>
      <c r="X14" s="30">
        <f>SUMIFS(DataBase!N:N,DataBase!C:C,Daftar!C14)</f>
        <v>0</v>
      </c>
      <c r="Z14" s="30">
        <f>Identitas!$C$12-Daftar!S14</f>
        <v>1500000</v>
      </c>
      <c r="AA14" s="30">
        <f>Identitas!$C$13-Daftar!T14</f>
        <v>500000</v>
      </c>
      <c r="AB14" s="30">
        <f>Identitas!$C$14-Daftar!U14</f>
        <v>200000</v>
      </c>
      <c r="AC14" s="30">
        <f>Identitas!$C$15-Daftar!V14</f>
        <v>200000</v>
      </c>
      <c r="AD14" s="30">
        <f>Identitas!$C$16-Daftar!W14</f>
        <v>200000</v>
      </c>
      <c r="AE14" s="30">
        <f>Identitas!$C$17-Daftar!X14</f>
        <v>400000</v>
      </c>
      <c r="AF14" s="30">
        <f t="shared" si="0"/>
        <v>3000000</v>
      </c>
      <c r="AG14" s="30">
        <f>Tunggakan!H14</f>
        <v>0</v>
      </c>
      <c r="AH14" s="30">
        <f t="shared" si="2"/>
        <v>4440000</v>
      </c>
    </row>
    <row r="15" spans="1:34" x14ac:dyDescent="0.25">
      <c r="B15" s="51">
        <v>11</v>
      </c>
      <c r="C15" s="52">
        <v>1611</v>
      </c>
      <c r="D15" s="51" t="s">
        <v>14</v>
      </c>
      <c r="E15" s="51" t="s">
        <v>20</v>
      </c>
      <c r="F15" s="30">
        <f>IF(SUMIFS(DataBase!$F:$F,DataBase!$H:$H,"="&amp;MONTH(F$1),DataBase!$C:$C,"="&amp;$C15)=0,0,SUMIFS(DataBase!$F:$F,DataBase!$H:$H,"="&amp;MONTH(F$1),DataBase!$C:$C,"="&amp;$C15))</f>
        <v>0</v>
      </c>
      <c r="G15" s="30">
        <f>IF(SUMIFS(DataBase!$F:$F,DataBase!$H:$H,"="&amp;MONTH(G$1),DataBase!$C:$C,"="&amp;$C15)=0,0,SUMIFS(DataBase!$F:$F,DataBase!$H:$H,"="&amp;MONTH(G$1),DataBase!$C:$C,"="&amp;$C15))</f>
        <v>0</v>
      </c>
      <c r="H15" s="30">
        <f>IF(SUMIFS(DataBase!$F:$F,DataBase!$H:$H,"="&amp;MONTH(H$1),DataBase!$C:$C,"="&amp;$C15)=0,0,SUMIFS(DataBase!$F:$F,DataBase!$H:$H,"="&amp;MONTH(H$1),DataBase!$C:$C,"="&amp;$C15))</f>
        <v>0</v>
      </c>
      <c r="I15" s="30">
        <f>IF(SUMIFS(DataBase!$F:$F,DataBase!$H:$H,"="&amp;MONTH(I$1),DataBase!$C:$C,"="&amp;$C15)=0,0,SUMIFS(DataBase!$F:$F,DataBase!$H:$H,"="&amp;MONTH(I$1),DataBase!$C:$C,"="&amp;$C15))</f>
        <v>0</v>
      </c>
      <c r="J15" s="30">
        <f>IF(SUMIFS(DataBase!$F:$F,DataBase!$H:$H,"="&amp;MONTH(J$1),DataBase!$C:$C,"="&amp;$C15)=0,0,SUMIFS(DataBase!$F:$F,DataBase!$H:$H,"="&amp;MONTH(J$1),DataBase!$C:$C,"="&amp;$C15))</f>
        <v>0</v>
      </c>
      <c r="K15" s="30">
        <f>IF(SUMIFS(DataBase!$F:$F,DataBase!$H:$H,"="&amp;MONTH(K$1),DataBase!$C:$C,"="&amp;$C15)=0,0,SUMIFS(DataBase!$F:$F,DataBase!$H:$H,"="&amp;MONTH(K$1),DataBase!$C:$C,"="&amp;$C15))</f>
        <v>0</v>
      </c>
      <c r="L15" s="30">
        <f>IF(SUMIFS(DataBase!$F:$F,DataBase!$H:$H,"="&amp;MONTH(L$1),DataBase!$C:$C,"="&amp;$C15)=0,0,SUMIFS(DataBase!$F:$F,DataBase!$H:$H,"="&amp;MONTH(L$1),DataBase!$C:$C,"="&amp;$C15))</f>
        <v>0</v>
      </c>
      <c r="M15" s="30">
        <f>IF(SUMIFS(DataBase!$F:$F,DataBase!$H:$H,"="&amp;MONTH(M$1),DataBase!$C:$C,"="&amp;$C15)=0,0,SUMIFS(DataBase!$F:$F,DataBase!$H:$H,"="&amp;MONTH(M$1),DataBase!$C:$C,"="&amp;$C15))</f>
        <v>0</v>
      </c>
      <c r="N15" s="30">
        <f>IF(SUMIFS(DataBase!$F:$F,DataBase!$H:$H,"="&amp;MONTH(N$1),DataBase!$C:$C,"="&amp;$C15)=0,0,SUMIFS(DataBase!$F:$F,DataBase!$H:$H,"="&amp;MONTH(N$1),DataBase!$C:$C,"="&amp;$C15))</f>
        <v>0</v>
      </c>
      <c r="O15" s="30">
        <f>IF(SUMIFS(DataBase!$F:$F,DataBase!$H:$H,"="&amp;MONTH(O$1),DataBase!$C:$C,"="&amp;$C15)=0,0,SUMIFS(DataBase!$F:$F,DataBase!$H:$H,"="&amp;MONTH(O$1),DataBase!$C:$C,"="&amp;$C15))</f>
        <v>0</v>
      </c>
      <c r="P15" s="30">
        <f>IF(SUMIFS(DataBase!$F:$F,DataBase!$H:$H,"="&amp;MONTH(P$1),DataBase!$C:$C,"="&amp;$C15)=0,0,SUMIFS(DataBase!$F:$F,DataBase!$H:$H,"="&amp;MONTH(P$1),DataBase!$C:$C,"="&amp;$C15))</f>
        <v>0</v>
      </c>
      <c r="Q15" s="30">
        <f>IF(SUMIFS(DataBase!$F:$F,DataBase!$H:$H,"="&amp;MONTH(Q$1),DataBase!$C:$C,"="&amp;$C15)=0,0,SUMIFS(DataBase!$F:$F,DataBase!$H:$H,"="&amp;MONTH(Q$1),DataBase!$C:$C,"="&amp;$C15))</f>
        <v>0</v>
      </c>
      <c r="R15" s="30">
        <f>12*Identitas!$C$11-SUM(Daftar!F15:Q15)</f>
        <v>1440000</v>
      </c>
      <c r="S15" s="30">
        <f>SUMIFS(DataBase!I:I,DataBase!C:C,Daftar!C15)</f>
        <v>0</v>
      </c>
      <c r="T15" s="30">
        <f>SUMIFS(DataBase!J:J,DataBase!C:C,Daftar!C15)</f>
        <v>0</v>
      </c>
      <c r="U15" s="30">
        <f>SUMIFS(DataBase!K:K,DataBase!C:C,Daftar!C15)</f>
        <v>0</v>
      </c>
      <c r="V15" s="30">
        <f>SUMIFS(DataBase!L:L,DataBase!C:C,Daftar!C15)</f>
        <v>0</v>
      </c>
      <c r="W15" s="30">
        <f>SUMIFS(DataBase!M:M,DataBase!C:C,Daftar!C15)</f>
        <v>0</v>
      </c>
      <c r="X15" s="30">
        <f>SUMIFS(DataBase!N:N,DataBase!C:C,Daftar!C15)</f>
        <v>0</v>
      </c>
      <c r="Z15" s="30">
        <f>Identitas!$C$12-Daftar!S15</f>
        <v>1500000</v>
      </c>
      <c r="AA15" s="30">
        <f>Identitas!$C$13-Daftar!T15</f>
        <v>500000</v>
      </c>
      <c r="AB15" s="30">
        <f>Identitas!$C$14-Daftar!U15</f>
        <v>200000</v>
      </c>
      <c r="AC15" s="30">
        <f>Identitas!$C$15-Daftar!V15</f>
        <v>200000</v>
      </c>
      <c r="AD15" s="30">
        <f>Identitas!$C$16-Daftar!W15</f>
        <v>200000</v>
      </c>
      <c r="AE15" s="30">
        <f>Identitas!$C$17-Daftar!X15</f>
        <v>400000</v>
      </c>
      <c r="AF15" s="30">
        <f t="shared" si="0"/>
        <v>3000000</v>
      </c>
      <c r="AG15" s="30">
        <f>Tunggakan!H15</f>
        <v>0</v>
      </c>
      <c r="AH15" s="30">
        <f t="shared" si="2"/>
        <v>4440000</v>
      </c>
    </row>
    <row r="16" spans="1:34" x14ac:dyDescent="0.25">
      <c r="B16" s="51">
        <v>12</v>
      </c>
      <c r="C16" s="52">
        <v>1612</v>
      </c>
      <c r="D16" s="51" t="s">
        <v>15</v>
      </c>
      <c r="E16" s="51" t="s">
        <v>20</v>
      </c>
      <c r="F16" s="30">
        <f>IF(SUMIFS(DataBase!$F:$F,DataBase!$H:$H,"="&amp;MONTH(F$1),DataBase!$C:$C,"="&amp;$C16)=0,0,SUMIFS(DataBase!$F:$F,DataBase!$H:$H,"="&amp;MONTH(F$1),DataBase!$C:$C,"="&amp;$C16))</f>
        <v>0</v>
      </c>
      <c r="G16" s="30">
        <f>IF(SUMIFS(DataBase!$F:$F,DataBase!$H:$H,"="&amp;MONTH(G$1),DataBase!$C:$C,"="&amp;$C16)=0,0,SUMIFS(DataBase!$F:$F,DataBase!$H:$H,"="&amp;MONTH(G$1),DataBase!$C:$C,"="&amp;$C16))</f>
        <v>0</v>
      </c>
      <c r="H16" s="30">
        <f>IF(SUMIFS(DataBase!$F:$F,DataBase!$H:$H,"="&amp;MONTH(H$1),DataBase!$C:$C,"="&amp;$C16)=0,0,SUMIFS(DataBase!$F:$F,DataBase!$H:$H,"="&amp;MONTH(H$1),DataBase!$C:$C,"="&amp;$C16))</f>
        <v>0</v>
      </c>
      <c r="I16" s="30">
        <f>IF(SUMIFS(DataBase!$F:$F,DataBase!$H:$H,"="&amp;MONTH(I$1),DataBase!$C:$C,"="&amp;$C16)=0,0,SUMIFS(DataBase!$F:$F,DataBase!$H:$H,"="&amp;MONTH(I$1),DataBase!$C:$C,"="&amp;$C16))</f>
        <v>0</v>
      </c>
      <c r="J16" s="30">
        <f>IF(SUMIFS(DataBase!$F:$F,DataBase!$H:$H,"="&amp;MONTH(J$1),DataBase!$C:$C,"="&amp;$C16)=0,0,SUMIFS(DataBase!$F:$F,DataBase!$H:$H,"="&amp;MONTH(J$1),DataBase!$C:$C,"="&amp;$C16))</f>
        <v>0</v>
      </c>
      <c r="K16" s="30">
        <f>IF(SUMIFS(DataBase!$F:$F,DataBase!$H:$H,"="&amp;MONTH(K$1),DataBase!$C:$C,"="&amp;$C16)=0,0,SUMIFS(DataBase!$F:$F,DataBase!$H:$H,"="&amp;MONTH(K$1),DataBase!$C:$C,"="&amp;$C16))</f>
        <v>0</v>
      </c>
      <c r="L16" s="30">
        <f>IF(SUMIFS(DataBase!$F:$F,DataBase!$H:$H,"="&amp;MONTH(L$1),DataBase!$C:$C,"="&amp;$C16)=0,0,SUMIFS(DataBase!$F:$F,DataBase!$H:$H,"="&amp;MONTH(L$1),DataBase!$C:$C,"="&amp;$C16))</f>
        <v>0</v>
      </c>
      <c r="M16" s="30">
        <f>IF(SUMIFS(DataBase!$F:$F,DataBase!$H:$H,"="&amp;MONTH(M$1),DataBase!$C:$C,"="&amp;$C16)=0,0,SUMIFS(DataBase!$F:$F,DataBase!$H:$H,"="&amp;MONTH(M$1),DataBase!$C:$C,"="&amp;$C16))</f>
        <v>0</v>
      </c>
      <c r="N16" s="30">
        <f>IF(SUMIFS(DataBase!$F:$F,DataBase!$H:$H,"="&amp;MONTH(N$1),DataBase!$C:$C,"="&amp;$C16)=0,0,SUMIFS(DataBase!$F:$F,DataBase!$H:$H,"="&amp;MONTH(N$1),DataBase!$C:$C,"="&amp;$C16))</f>
        <v>0</v>
      </c>
      <c r="O16" s="30">
        <f>IF(SUMIFS(DataBase!$F:$F,DataBase!$H:$H,"="&amp;MONTH(O$1),DataBase!$C:$C,"="&amp;$C16)=0,0,SUMIFS(DataBase!$F:$F,DataBase!$H:$H,"="&amp;MONTH(O$1),DataBase!$C:$C,"="&amp;$C16))</f>
        <v>0</v>
      </c>
      <c r="P16" s="30">
        <f>IF(SUMIFS(DataBase!$F:$F,DataBase!$H:$H,"="&amp;MONTH(P$1),DataBase!$C:$C,"="&amp;$C16)=0,0,SUMIFS(DataBase!$F:$F,DataBase!$H:$H,"="&amp;MONTH(P$1),DataBase!$C:$C,"="&amp;$C16))</f>
        <v>0</v>
      </c>
      <c r="Q16" s="30">
        <f>IF(SUMIFS(DataBase!$F:$F,DataBase!$H:$H,"="&amp;MONTH(Q$1),DataBase!$C:$C,"="&amp;$C16)=0,0,SUMIFS(DataBase!$F:$F,DataBase!$H:$H,"="&amp;MONTH(Q$1),DataBase!$C:$C,"="&amp;$C16))</f>
        <v>0</v>
      </c>
      <c r="R16" s="30">
        <f>12*Identitas!$C$11-SUM(Daftar!F16:Q16)</f>
        <v>1440000</v>
      </c>
      <c r="S16" s="30">
        <f>SUMIFS(DataBase!I:I,DataBase!C:C,Daftar!C16)</f>
        <v>0</v>
      </c>
      <c r="T16" s="30">
        <f>SUMIFS(DataBase!J:J,DataBase!C:C,Daftar!C16)</f>
        <v>0</v>
      </c>
      <c r="U16" s="30">
        <f>SUMIFS(DataBase!K:K,DataBase!C:C,Daftar!C16)</f>
        <v>0</v>
      </c>
      <c r="V16" s="30">
        <f>SUMIFS(DataBase!L:L,DataBase!C:C,Daftar!C16)</f>
        <v>0</v>
      </c>
      <c r="W16" s="30">
        <f>SUMIFS(DataBase!M:M,DataBase!C:C,Daftar!C16)</f>
        <v>0</v>
      </c>
      <c r="X16" s="30">
        <f>SUMIFS(DataBase!N:N,DataBase!C:C,Daftar!C16)</f>
        <v>0</v>
      </c>
      <c r="Z16" s="30">
        <f>Identitas!$C$12-Daftar!S16</f>
        <v>1500000</v>
      </c>
      <c r="AA16" s="30">
        <f>Identitas!$C$13-Daftar!T16</f>
        <v>500000</v>
      </c>
      <c r="AB16" s="30">
        <f>Identitas!$C$14-Daftar!U16</f>
        <v>200000</v>
      </c>
      <c r="AC16" s="30">
        <f>Identitas!$C$15-Daftar!V16</f>
        <v>200000</v>
      </c>
      <c r="AD16" s="30">
        <f>Identitas!$C$16-Daftar!W16</f>
        <v>200000</v>
      </c>
      <c r="AE16" s="30">
        <f>Identitas!$C$17-Daftar!X16</f>
        <v>400000</v>
      </c>
      <c r="AF16" s="30">
        <f t="shared" si="0"/>
        <v>3000000</v>
      </c>
      <c r="AG16" s="30">
        <f>Tunggakan!H16</f>
        <v>0</v>
      </c>
      <c r="AH16" s="30">
        <f t="shared" si="2"/>
        <v>4440000</v>
      </c>
    </row>
    <row r="17" spans="1:34" x14ac:dyDescent="0.25">
      <c r="B17" s="51">
        <v>13</v>
      </c>
      <c r="C17" s="52">
        <v>1613</v>
      </c>
      <c r="D17" s="51" t="s">
        <v>16</v>
      </c>
      <c r="E17" s="51" t="s">
        <v>20</v>
      </c>
      <c r="F17" s="30">
        <f>IF(SUMIFS(DataBase!$F:$F,DataBase!$H:$H,"="&amp;MONTH(F$1),DataBase!$C:$C,"="&amp;$C17)=0,0,SUMIFS(DataBase!$F:$F,DataBase!$H:$H,"="&amp;MONTH(F$1),DataBase!$C:$C,"="&amp;$C17))</f>
        <v>0</v>
      </c>
      <c r="G17" s="30">
        <f>IF(SUMIFS(DataBase!$F:$F,DataBase!$H:$H,"="&amp;MONTH(G$1),DataBase!$C:$C,"="&amp;$C17)=0,0,SUMIFS(DataBase!$F:$F,DataBase!$H:$H,"="&amp;MONTH(G$1),DataBase!$C:$C,"="&amp;$C17))</f>
        <v>0</v>
      </c>
      <c r="H17" s="30">
        <f>IF(SUMIFS(DataBase!$F:$F,DataBase!$H:$H,"="&amp;MONTH(H$1),DataBase!$C:$C,"="&amp;$C17)=0,0,SUMIFS(DataBase!$F:$F,DataBase!$H:$H,"="&amp;MONTH(H$1),DataBase!$C:$C,"="&amp;$C17))</f>
        <v>0</v>
      </c>
      <c r="I17" s="30">
        <f>IF(SUMIFS(DataBase!$F:$F,DataBase!$H:$H,"="&amp;MONTH(I$1),DataBase!$C:$C,"="&amp;$C17)=0,0,SUMIFS(DataBase!$F:$F,DataBase!$H:$H,"="&amp;MONTH(I$1),DataBase!$C:$C,"="&amp;$C17))</f>
        <v>0</v>
      </c>
      <c r="J17" s="30">
        <f>IF(SUMIFS(DataBase!$F:$F,DataBase!$H:$H,"="&amp;MONTH(J$1),DataBase!$C:$C,"="&amp;$C17)=0,0,SUMIFS(DataBase!$F:$F,DataBase!$H:$H,"="&amp;MONTH(J$1),DataBase!$C:$C,"="&amp;$C17))</f>
        <v>0</v>
      </c>
      <c r="K17" s="30">
        <f>IF(SUMIFS(DataBase!$F:$F,DataBase!$H:$H,"="&amp;MONTH(K$1),DataBase!$C:$C,"="&amp;$C17)=0,0,SUMIFS(DataBase!$F:$F,DataBase!$H:$H,"="&amp;MONTH(K$1),DataBase!$C:$C,"="&amp;$C17))</f>
        <v>0</v>
      </c>
      <c r="L17" s="30">
        <f>IF(SUMIFS(DataBase!$F:$F,DataBase!$H:$H,"="&amp;MONTH(L$1),DataBase!$C:$C,"="&amp;$C17)=0,0,SUMIFS(DataBase!$F:$F,DataBase!$H:$H,"="&amp;MONTH(L$1),DataBase!$C:$C,"="&amp;$C17))</f>
        <v>0</v>
      </c>
      <c r="M17" s="30">
        <f>IF(SUMIFS(DataBase!$F:$F,DataBase!$H:$H,"="&amp;MONTH(M$1),DataBase!$C:$C,"="&amp;$C17)=0,0,SUMIFS(DataBase!$F:$F,DataBase!$H:$H,"="&amp;MONTH(M$1),DataBase!$C:$C,"="&amp;$C17))</f>
        <v>0</v>
      </c>
      <c r="N17" s="30">
        <f>IF(SUMIFS(DataBase!$F:$F,DataBase!$H:$H,"="&amp;MONTH(N$1),DataBase!$C:$C,"="&amp;$C17)=0,0,SUMIFS(DataBase!$F:$F,DataBase!$H:$H,"="&amp;MONTH(N$1),DataBase!$C:$C,"="&amp;$C17))</f>
        <v>0</v>
      </c>
      <c r="O17" s="30">
        <f>IF(SUMIFS(DataBase!$F:$F,DataBase!$H:$H,"="&amp;MONTH(O$1),DataBase!$C:$C,"="&amp;$C17)=0,0,SUMIFS(DataBase!$F:$F,DataBase!$H:$H,"="&amp;MONTH(O$1),DataBase!$C:$C,"="&amp;$C17))</f>
        <v>0</v>
      </c>
      <c r="P17" s="30">
        <f>IF(SUMIFS(DataBase!$F:$F,DataBase!$H:$H,"="&amp;MONTH(P$1),DataBase!$C:$C,"="&amp;$C17)=0,0,SUMIFS(DataBase!$F:$F,DataBase!$H:$H,"="&amp;MONTH(P$1),DataBase!$C:$C,"="&amp;$C17))</f>
        <v>0</v>
      </c>
      <c r="Q17" s="30">
        <f>IF(SUMIFS(DataBase!$F:$F,DataBase!$H:$H,"="&amp;MONTH(Q$1),DataBase!$C:$C,"="&amp;$C17)=0,0,SUMIFS(DataBase!$F:$F,DataBase!$H:$H,"="&amp;MONTH(Q$1),DataBase!$C:$C,"="&amp;$C17))</f>
        <v>0</v>
      </c>
      <c r="R17" s="30">
        <f>12*Identitas!$C$11-SUM(Daftar!F17:Q17)</f>
        <v>1440000</v>
      </c>
      <c r="S17" s="30">
        <f>SUMIFS(DataBase!I:I,DataBase!C:C,Daftar!C17)</f>
        <v>0</v>
      </c>
      <c r="T17" s="30">
        <f>SUMIFS(DataBase!J:J,DataBase!C:C,Daftar!C17)</f>
        <v>0</v>
      </c>
      <c r="U17" s="30">
        <f>SUMIFS(DataBase!K:K,DataBase!C:C,Daftar!C17)</f>
        <v>0</v>
      </c>
      <c r="V17" s="30">
        <f>SUMIFS(DataBase!L:L,DataBase!C:C,Daftar!C17)</f>
        <v>0</v>
      </c>
      <c r="W17" s="30">
        <f>SUMIFS(DataBase!M:M,DataBase!C:C,Daftar!C17)</f>
        <v>0</v>
      </c>
      <c r="X17" s="30">
        <f>SUMIFS(DataBase!N:N,DataBase!C:C,Daftar!C17)</f>
        <v>0</v>
      </c>
      <c r="Z17" s="30">
        <f>Identitas!$C$12-Daftar!S17</f>
        <v>1500000</v>
      </c>
      <c r="AA17" s="30">
        <f>Identitas!$C$13-Daftar!T17</f>
        <v>500000</v>
      </c>
      <c r="AB17" s="30">
        <f>Identitas!$C$14-Daftar!U17</f>
        <v>200000</v>
      </c>
      <c r="AC17" s="30">
        <f>Identitas!$C$15-Daftar!V17</f>
        <v>200000</v>
      </c>
      <c r="AD17" s="30">
        <f>Identitas!$C$16-Daftar!W17</f>
        <v>200000</v>
      </c>
      <c r="AE17" s="30">
        <f>Identitas!$C$17-Daftar!X17</f>
        <v>400000</v>
      </c>
      <c r="AF17" s="30">
        <f t="shared" si="0"/>
        <v>3000000</v>
      </c>
      <c r="AG17" s="30">
        <f>Tunggakan!H17</f>
        <v>0</v>
      </c>
      <c r="AH17" s="30">
        <f t="shared" si="2"/>
        <v>4440000</v>
      </c>
    </row>
    <row r="18" spans="1:34" x14ac:dyDescent="0.25">
      <c r="B18" s="51">
        <v>14</v>
      </c>
      <c r="C18" s="52">
        <v>1614</v>
      </c>
      <c r="D18" s="51" t="s">
        <v>17</v>
      </c>
      <c r="E18" s="51" t="s">
        <v>20</v>
      </c>
      <c r="F18" s="30">
        <f>IF(SUMIFS(DataBase!$F:$F,DataBase!$H:$H,"="&amp;MONTH(F$1),DataBase!$C:$C,"="&amp;$C18)=0,0,SUMIFS(DataBase!$F:$F,DataBase!$H:$H,"="&amp;MONTH(F$1),DataBase!$C:$C,"="&amp;$C18))</f>
        <v>0</v>
      </c>
      <c r="G18" s="30">
        <f>IF(SUMIFS(DataBase!$F:$F,DataBase!$H:$H,"="&amp;MONTH(G$1),DataBase!$C:$C,"="&amp;$C18)=0,0,SUMIFS(DataBase!$F:$F,DataBase!$H:$H,"="&amp;MONTH(G$1),DataBase!$C:$C,"="&amp;$C18))</f>
        <v>0</v>
      </c>
      <c r="H18" s="30">
        <f>IF(SUMIFS(DataBase!$F:$F,DataBase!$H:$H,"="&amp;MONTH(H$1),DataBase!$C:$C,"="&amp;$C18)=0,0,SUMIFS(DataBase!$F:$F,DataBase!$H:$H,"="&amp;MONTH(H$1),DataBase!$C:$C,"="&amp;$C18))</f>
        <v>0</v>
      </c>
      <c r="I18" s="30">
        <f>IF(SUMIFS(DataBase!$F:$F,DataBase!$H:$H,"="&amp;MONTH(I$1),DataBase!$C:$C,"="&amp;$C18)=0,0,SUMIFS(DataBase!$F:$F,DataBase!$H:$H,"="&amp;MONTH(I$1),DataBase!$C:$C,"="&amp;$C18))</f>
        <v>0</v>
      </c>
      <c r="J18" s="30">
        <f>IF(SUMIFS(DataBase!$F:$F,DataBase!$H:$H,"="&amp;MONTH(J$1),DataBase!$C:$C,"="&amp;$C18)=0,0,SUMIFS(DataBase!$F:$F,DataBase!$H:$H,"="&amp;MONTH(J$1),DataBase!$C:$C,"="&amp;$C18))</f>
        <v>0</v>
      </c>
      <c r="K18" s="30">
        <f>IF(SUMIFS(DataBase!$F:$F,DataBase!$H:$H,"="&amp;MONTH(K$1),DataBase!$C:$C,"="&amp;$C18)=0,0,SUMIFS(DataBase!$F:$F,DataBase!$H:$H,"="&amp;MONTH(K$1),DataBase!$C:$C,"="&amp;$C18))</f>
        <v>0</v>
      </c>
      <c r="L18" s="30">
        <f>IF(SUMIFS(DataBase!$F:$F,DataBase!$H:$H,"="&amp;MONTH(L$1),DataBase!$C:$C,"="&amp;$C18)=0,0,SUMIFS(DataBase!$F:$F,DataBase!$H:$H,"="&amp;MONTH(L$1),DataBase!$C:$C,"="&amp;$C18))</f>
        <v>0</v>
      </c>
      <c r="M18" s="30">
        <f>IF(SUMIFS(DataBase!$F:$F,DataBase!$H:$H,"="&amp;MONTH(M$1),DataBase!$C:$C,"="&amp;$C18)=0,0,SUMIFS(DataBase!$F:$F,DataBase!$H:$H,"="&amp;MONTH(M$1),DataBase!$C:$C,"="&amp;$C18))</f>
        <v>0</v>
      </c>
      <c r="N18" s="30">
        <f>IF(SUMIFS(DataBase!$F:$F,DataBase!$H:$H,"="&amp;MONTH(N$1),DataBase!$C:$C,"="&amp;$C18)=0,0,SUMIFS(DataBase!$F:$F,DataBase!$H:$H,"="&amp;MONTH(N$1),DataBase!$C:$C,"="&amp;$C18))</f>
        <v>0</v>
      </c>
      <c r="O18" s="30">
        <f>IF(SUMIFS(DataBase!$F:$F,DataBase!$H:$H,"="&amp;MONTH(O$1),DataBase!$C:$C,"="&amp;$C18)=0,0,SUMIFS(DataBase!$F:$F,DataBase!$H:$H,"="&amp;MONTH(O$1),DataBase!$C:$C,"="&amp;$C18))</f>
        <v>0</v>
      </c>
      <c r="P18" s="30">
        <f>IF(SUMIFS(DataBase!$F:$F,DataBase!$H:$H,"="&amp;MONTH(P$1),DataBase!$C:$C,"="&amp;$C18)=0,0,SUMIFS(DataBase!$F:$F,DataBase!$H:$H,"="&amp;MONTH(P$1),DataBase!$C:$C,"="&amp;$C18))</f>
        <v>0</v>
      </c>
      <c r="Q18" s="30">
        <f>IF(SUMIFS(DataBase!$F:$F,DataBase!$H:$H,"="&amp;MONTH(Q$1),DataBase!$C:$C,"="&amp;$C18)=0,0,SUMIFS(DataBase!$F:$F,DataBase!$H:$H,"="&amp;MONTH(Q$1),DataBase!$C:$C,"="&amp;$C18))</f>
        <v>0</v>
      </c>
      <c r="R18" s="30">
        <f>12*Identitas!$C$11-SUM(Daftar!F18:Q18)</f>
        <v>1440000</v>
      </c>
      <c r="S18" s="30">
        <f>SUMIFS(DataBase!I:I,DataBase!C:C,Daftar!C18)</f>
        <v>0</v>
      </c>
      <c r="T18" s="30">
        <f>SUMIFS(DataBase!J:J,DataBase!C:C,Daftar!C18)</f>
        <v>0</v>
      </c>
      <c r="U18" s="30">
        <f>SUMIFS(DataBase!K:K,DataBase!C:C,Daftar!C18)</f>
        <v>0</v>
      </c>
      <c r="V18" s="30">
        <f>SUMIFS(DataBase!L:L,DataBase!C:C,Daftar!C18)</f>
        <v>0</v>
      </c>
      <c r="W18" s="30">
        <f>SUMIFS(DataBase!M:M,DataBase!C:C,Daftar!C18)</f>
        <v>0</v>
      </c>
      <c r="X18" s="30">
        <f>SUMIFS(DataBase!N:N,DataBase!C:C,Daftar!C18)</f>
        <v>0</v>
      </c>
      <c r="Z18" s="30">
        <f>Identitas!$C$12-Daftar!S18</f>
        <v>1500000</v>
      </c>
      <c r="AA18" s="30">
        <f>Identitas!$C$13-Daftar!T18</f>
        <v>500000</v>
      </c>
      <c r="AB18" s="30">
        <f>Identitas!$C$14-Daftar!U18</f>
        <v>200000</v>
      </c>
      <c r="AC18" s="30">
        <f>Identitas!$C$15-Daftar!V18</f>
        <v>200000</v>
      </c>
      <c r="AD18" s="30">
        <f>Identitas!$C$16-Daftar!W18</f>
        <v>200000</v>
      </c>
      <c r="AE18" s="30">
        <f>Identitas!$C$17-Daftar!X18</f>
        <v>400000</v>
      </c>
      <c r="AF18" s="30">
        <f t="shared" si="0"/>
        <v>3000000</v>
      </c>
      <c r="AG18" s="30">
        <f>Tunggakan!H18</f>
        <v>0</v>
      </c>
      <c r="AH18" s="30">
        <f t="shared" si="2"/>
        <v>4440000</v>
      </c>
    </row>
    <row r="19" spans="1:34" x14ac:dyDescent="0.25">
      <c r="B19" s="51">
        <v>15</v>
      </c>
      <c r="C19" s="52">
        <v>1615</v>
      </c>
      <c r="D19" s="51" t="s">
        <v>18</v>
      </c>
      <c r="E19" s="51" t="s">
        <v>20</v>
      </c>
      <c r="F19" s="30">
        <f>IF(SUMIFS(DataBase!$F:$F,DataBase!$H:$H,"="&amp;MONTH(F$1),DataBase!$C:$C,"="&amp;$C19)=0,0,SUMIFS(DataBase!$F:$F,DataBase!$H:$H,"="&amp;MONTH(F$1),DataBase!$C:$C,"="&amp;$C19))</f>
        <v>0</v>
      </c>
      <c r="G19" s="30">
        <f>IF(SUMIFS(DataBase!$F:$F,DataBase!$H:$H,"="&amp;MONTH(G$1),DataBase!$C:$C,"="&amp;$C19)=0,0,SUMIFS(DataBase!$F:$F,DataBase!$H:$H,"="&amp;MONTH(G$1),DataBase!$C:$C,"="&amp;$C19))</f>
        <v>0</v>
      </c>
      <c r="H19" s="30">
        <f>IF(SUMIFS(DataBase!$F:$F,DataBase!$H:$H,"="&amp;MONTH(H$1),DataBase!$C:$C,"="&amp;$C19)=0,0,SUMIFS(DataBase!$F:$F,DataBase!$H:$H,"="&amp;MONTH(H$1),DataBase!$C:$C,"="&amp;$C19))</f>
        <v>0</v>
      </c>
      <c r="I19" s="30">
        <f>IF(SUMIFS(DataBase!$F:$F,DataBase!$H:$H,"="&amp;MONTH(I$1),DataBase!$C:$C,"="&amp;$C19)=0,0,SUMIFS(DataBase!$F:$F,DataBase!$H:$H,"="&amp;MONTH(I$1),DataBase!$C:$C,"="&amp;$C19))</f>
        <v>0</v>
      </c>
      <c r="J19" s="30">
        <f>IF(SUMIFS(DataBase!$F:$F,DataBase!$H:$H,"="&amp;MONTH(J$1),DataBase!$C:$C,"="&amp;$C19)=0,0,SUMIFS(DataBase!$F:$F,DataBase!$H:$H,"="&amp;MONTH(J$1),DataBase!$C:$C,"="&amp;$C19))</f>
        <v>0</v>
      </c>
      <c r="K19" s="30">
        <f>IF(SUMIFS(DataBase!$F:$F,DataBase!$H:$H,"="&amp;MONTH(K$1),DataBase!$C:$C,"="&amp;$C19)=0,0,SUMIFS(DataBase!$F:$F,DataBase!$H:$H,"="&amp;MONTH(K$1),DataBase!$C:$C,"="&amp;$C19))</f>
        <v>0</v>
      </c>
      <c r="L19" s="30">
        <f>IF(SUMIFS(DataBase!$F:$F,DataBase!$H:$H,"="&amp;MONTH(L$1),DataBase!$C:$C,"="&amp;$C19)=0,0,SUMIFS(DataBase!$F:$F,DataBase!$H:$H,"="&amp;MONTH(L$1),DataBase!$C:$C,"="&amp;$C19))</f>
        <v>0</v>
      </c>
      <c r="M19" s="30">
        <f>IF(SUMIFS(DataBase!$F:$F,DataBase!$H:$H,"="&amp;MONTH(M$1),DataBase!$C:$C,"="&amp;$C19)=0,0,SUMIFS(DataBase!$F:$F,DataBase!$H:$H,"="&amp;MONTH(M$1),DataBase!$C:$C,"="&amp;$C19))</f>
        <v>0</v>
      </c>
      <c r="N19" s="30">
        <f>IF(SUMIFS(DataBase!$F:$F,DataBase!$H:$H,"="&amp;MONTH(N$1),DataBase!$C:$C,"="&amp;$C19)=0,0,SUMIFS(DataBase!$F:$F,DataBase!$H:$H,"="&amp;MONTH(N$1),DataBase!$C:$C,"="&amp;$C19))</f>
        <v>0</v>
      </c>
      <c r="O19" s="30">
        <f>IF(SUMIFS(DataBase!$F:$F,DataBase!$H:$H,"="&amp;MONTH(O$1),DataBase!$C:$C,"="&amp;$C19)=0,0,SUMIFS(DataBase!$F:$F,DataBase!$H:$H,"="&amp;MONTH(O$1),DataBase!$C:$C,"="&amp;$C19))</f>
        <v>0</v>
      </c>
      <c r="P19" s="30">
        <f>IF(SUMIFS(DataBase!$F:$F,DataBase!$H:$H,"="&amp;MONTH(P$1),DataBase!$C:$C,"="&amp;$C19)=0,0,SUMIFS(DataBase!$F:$F,DataBase!$H:$H,"="&amp;MONTH(P$1),DataBase!$C:$C,"="&amp;$C19))</f>
        <v>0</v>
      </c>
      <c r="Q19" s="30">
        <f>IF(SUMIFS(DataBase!$F:$F,DataBase!$H:$H,"="&amp;MONTH(Q$1),DataBase!$C:$C,"="&amp;$C19)=0,0,SUMIFS(DataBase!$F:$F,DataBase!$H:$H,"="&amp;MONTH(Q$1),DataBase!$C:$C,"="&amp;$C19))</f>
        <v>0</v>
      </c>
      <c r="R19" s="30">
        <f>12*Identitas!$C$11-SUM(Daftar!F19:Q19)</f>
        <v>1440000</v>
      </c>
      <c r="S19" s="30">
        <f>SUMIFS(DataBase!I:I,DataBase!C:C,Daftar!C19)</f>
        <v>0</v>
      </c>
      <c r="T19" s="30">
        <f>SUMIFS(DataBase!J:J,DataBase!C:C,Daftar!C19)</f>
        <v>0</v>
      </c>
      <c r="U19" s="30">
        <f>SUMIFS(DataBase!K:K,DataBase!C:C,Daftar!C19)</f>
        <v>0</v>
      </c>
      <c r="V19" s="30">
        <f>SUMIFS(DataBase!L:L,DataBase!C:C,Daftar!C19)</f>
        <v>0</v>
      </c>
      <c r="W19" s="30">
        <f>SUMIFS(DataBase!M:M,DataBase!C:C,Daftar!C19)</f>
        <v>0</v>
      </c>
      <c r="X19" s="30">
        <f>SUMIFS(DataBase!N:N,DataBase!C:C,Daftar!C19)</f>
        <v>0</v>
      </c>
      <c r="Z19" s="30">
        <f>Identitas!$C$12-Daftar!S19</f>
        <v>1500000</v>
      </c>
      <c r="AA19" s="30">
        <f>Identitas!$C$13-Daftar!T19</f>
        <v>500000</v>
      </c>
      <c r="AB19" s="30">
        <f>Identitas!$C$14-Daftar!U19</f>
        <v>200000</v>
      </c>
      <c r="AC19" s="30">
        <f>Identitas!$C$15-Daftar!V19</f>
        <v>200000</v>
      </c>
      <c r="AD19" s="30">
        <f>Identitas!$C$16-Daftar!W19</f>
        <v>200000</v>
      </c>
      <c r="AE19" s="30">
        <f>Identitas!$C$17-Daftar!X19</f>
        <v>400000</v>
      </c>
      <c r="AF19" s="30">
        <f t="shared" si="0"/>
        <v>3000000</v>
      </c>
      <c r="AG19" s="30">
        <f>Tunggakan!H19</f>
        <v>0</v>
      </c>
      <c r="AH19" s="30">
        <f t="shared" si="2"/>
        <v>4440000</v>
      </c>
    </row>
    <row r="20" spans="1:34" x14ac:dyDescent="0.25">
      <c r="B20" s="51">
        <v>16</v>
      </c>
      <c r="C20" s="52">
        <v>1616</v>
      </c>
      <c r="D20" s="51" t="s">
        <v>19</v>
      </c>
      <c r="E20" s="51" t="s">
        <v>20</v>
      </c>
      <c r="F20" s="30">
        <f>IF(SUMIFS(DataBase!$F:$F,DataBase!$H:$H,"="&amp;MONTH(F$1),DataBase!$C:$C,"="&amp;$C20)=0,0,SUMIFS(DataBase!$F:$F,DataBase!$H:$H,"="&amp;MONTH(F$1),DataBase!$C:$C,"="&amp;$C20))</f>
        <v>0</v>
      </c>
      <c r="G20" s="30">
        <f>IF(SUMIFS(DataBase!$F:$F,DataBase!$H:$H,"="&amp;MONTH(G$1),DataBase!$C:$C,"="&amp;$C20)=0,0,SUMIFS(DataBase!$F:$F,DataBase!$H:$H,"="&amp;MONTH(G$1),DataBase!$C:$C,"="&amp;$C20))</f>
        <v>0</v>
      </c>
      <c r="H20" s="30">
        <f>IF(SUMIFS(DataBase!$F:$F,DataBase!$H:$H,"="&amp;MONTH(H$1),DataBase!$C:$C,"="&amp;$C20)=0,0,SUMIFS(DataBase!$F:$F,DataBase!$H:$H,"="&amp;MONTH(H$1),DataBase!$C:$C,"="&amp;$C20))</f>
        <v>0</v>
      </c>
      <c r="I20" s="30">
        <f>IF(SUMIFS(DataBase!$F:$F,DataBase!$H:$H,"="&amp;MONTH(I$1),DataBase!$C:$C,"="&amp;$C20)=0,0,SUMIFS(DataBase!$F:$F,DataBase!$H:$H,"="&amp;MONTH(I$1),DataBase!$C:$C,"="&amp;$C20))</f>
        <v>0</v>
      </c>
      <c r="J20" s="30">
        <f>IF(SUMIFS(DataBase!$F:$F,DataBase!$H:$H,"="&amp;MONTH(J$1),DataBase!$C:$C,"="&amp;$C20)=0,0,SUMIFS(DataBase!$F:$F,DataBase!$H:$H,"="&amp;MONTH(J$1),DataBase!$C:$C,"="&amp;$C20))</f>
        <v>0</v>
      </c>
      <c r="K20" s="30">
        <f>IF(SUMIFS(DataBase!$F:$F,DataBase!$H:$H,"="&amp;MONTH(K$1),DataBase!$C:$C,"="&amp;$C20)=0,0,SUMIFS(DataBase!$F:$F,DataBase!$H:$H,"="&amp;MONTH(K$1),DataBase!$C:$C,"="&amp;$C20))</f>
        <v>0</v>
      </c>
      <c r="L20" s="30">
        <f>IF(SUMIFS(DataBase!$F:$F,DataBase!$H:$H,"="&amp;MONTH(L$1),DataBase!$C:$C,"="&amp;$C20)=0,0,SUMIFS(DataBase!$F:$F,DataBase!$H:$H,"="&amp;MONTH(L$1),DataBase!$C:$C,"="&amp;$C20))</f>
        <v>0</v>
      </c>
      <c r="M20" s="30">
        <f>IF(SUMIFS(DataBase!$F:$F,DataBase!$H:$H,"="&amp;MONTH(M$1),DataBase!$C:$C,"="&amp;$C20)=0,0,SUMIFS(DataBase!$F:$F,DataBase!$H:$H,"="&amp;MONTH(M$1),DataBase!$C:$C,"="&amp;$C20))</f>
        <v>0</v>
      </c>
      <c r="N20" s="30">
        <f>IF(SUMIFS(DataBase!$F:$F,DataBase!$H:$H,"="&amp;MONTH(N$1),DataBase!$C:$C,"="&amp;$C20)=0,0,SUMIFS(DataBase!$F:$F,DataBase!$H:$H,"="&amp;MONTH(N$1),DataBase!$C:$C,"="&amp;$C20))</f>
        <v>0</v>
      </c>
      <c r="O20" s="30">
        <f>IF(SUMIFS(DataBase!$F:$F,DataBase!$H:$H,"="&amp;MONTH(O$1),DataBase!$C:$C,"="&amp;$C20)=0,0,SUMIFS(DataBase!$F:$F,DataBase!$H:$H,"="&amp;MONTH(O$1),DataBase!$C:$C,"="&amp;$C20))</f>
        <v>0</v>
      </c>
      <c r="P20" s="30">
        <f>IF(SUMIFS(DataBase!$F:$F,DataBase!$H:$H,"="&amp;MONTH(P$1),DataBase!$C:$C,"="&amp;$C20)=0,0,SUMIFS(DataBase!$F:$F,DataBase!$H:$H,"="&amp;MONTH(P$1),DataBase!$C:$C,"="&amp;$C20))</f>
        <v>0</v>
      </c>
      <c r="Q20" s="30">
        <f>IF(SUMIFS(DataBase!$F:$F,DataBase!$H:$H,"="&amp;MONTH(Q$1),DataBase!$C:$C,"="&amp;$C20)=0,0,SUMIFS(DataBase!$F:$F,DataBase!$H:$H,"="&amp;MONTH(Q$1),DataBase!$C:$C,"="&amp;$C20))</f>
        <v>0</v>
      </c>
      <c r="R20" s="30">
        <f>12*Identitas!$C$11-SUM(Daftar!F20:Q20)</f>
        <v>1440000</v>
      </c>
      <c r="S20" s="30">
        <f>SUMIFS(DataBase!I:I,DataBase!C:C,Daftar!C20)</f>
        <v>0</v>
      </c>
      <c r="T20" s="30">
        <f>SUMIFS(DataBase!J:J,DataBase!C:C,Daftar!C20)</f>
        <v>0</v>
      </c>
      <c r="U20" s="30">
        <f>SUMIFS(DataBase!K:K,DataBase!C:C,Daftar!C20)</f>
        <v>0</v>
      </c>
      <c r="V20" s="30">
        <f>SUMIFS(DataBase!L:L,DataBase!C:C,Daftar!C20)</f>
        <v>0</v>
      </c>
      <c r="W20" s="30">
        <f>SUMIFS(DataBase!M:M,DataBase!C:C,Daftar!C20)</f>
        <v>0</v>
      </c>
      <c r="X20" s="30">
        <f>SUMIFS(DataBase!N:N,DataBase!C:C,Daftar!C20)</f>
        <v>0</v>
      </c>
      <c r="Z20" s="30">
        <f>Identitas!$C$12-Daftar!S20</f>
        <v>1500000</v>
      </c>
      <c r="AA20" s="30">
        <f>Identitas!$C$13-Daftar!T20</f>
        <v>500000</v>
      </c>
      <c r="AB20" s="30">
        <f>Identitas!$C$14-Daftar!U20</f>
        <v>200000</v>
      </c>
      <c r="AC20" s="30">
        <f>Identitas!$C$15-Daftar!V20</f>
        <v>200000</v>
      </c>
      <c r="AD20" s="30">
        <f>Identitas!$C$16-Daftar!W20</f>
        <v>200000</v>
      </c>
      <c r="AE20" s="30">
        <f>Identitas!$C$17-Daftar!X20</f>
        <v>400000</v>
      </c>
      <c r="AF20" s="30">
        <f t="shared" si="0"/>
        <v>3000000</v>
      </c>
      <c r="AG20" s="30">
        <f>Tunggakan!H20</f>
        <v>0</v>
      </c>
      <c r="AH20" s="30">
        <f t="shared" si="2"/>
        <v>4440000</v>
      </c>
    </row>
    <row r="21" spans="1:34" x14ac:dyDescent="0.25">
      <c r="B21" s="51">
        <v>17</v>
      </c>
      <c r="C21" s="52">
        <v>1617</v>
      </c>
      <c r="D21" s="51" t="s">
        <v>27</v>
      </c>
      <c r="E21" s="51" t="s">
        <v>20</v>
      </c>
      <c r="F21" s="30">
        <f>IF(SUMIFS(DataBase!$F:$F,DataBase!$H:$H,"="&amp;MONTH(F$1),DataBase!$C:$C,"="&amp;$C21)=0,0,SUMIFS(DataBase!$F:$F,DataBase!$H:$H,"="&amp;MONTH(F$1),DataBase!$C:$C,"="&amp;$C21))</f>
        <v>0</v>
      </c>
      <c r="G21" s="30">
        <f>IF(SUMIFS(DataBase!$F:$F,DataBase!$H:$H,"="&amp;MONTH(G$1),DataBase!$C:$C,"="&amp;$C21)=0,0,SUMIFS(DataBase!$F:$F,DataBase!$H:$H,"="&amp;MONTH(G$1),DataBase!$C:$C,"="&amp;$C21))</f>
        <v>0</v>
      </c>
      <c r="H21" s="30">
        <f>IF(SUMIFS(DataBase!$F:$F,DataBase!$H:$H,"="&amp;MONTH(H$1),DataBase!$C:$C,"="&amp;$C21)=0,0,SUMIFS(DataBase!$F:$F,DataBase!$H:$H,"="&amp;MONTH(H$1),DataBase!$C:$C,"="&amp;$C21))</f>
        <v>0</v>
      </c>
      <c r="I21" s="30">
        <f>IF(SUMIFS(DataBase!$F:$F,DataBase!$H:$H,"="&amp;MONTH(I$1),DataBase!$C:$C,"="&amp;$C21)=0,0,SUMIFS(DataBase!$F:$F,DataBase!$H:$H,"="&amp;MONTH(I$1),DataBase!$C:$C,"="&amp;$C21))</f>
        <v>0</v>
      </c>
      <c r="J21" s="30">
        <f>IF(SUMIFS(DataBase!$F:$F,DataBase!$H:$H,"="&amp;MONTH(J$1),DataBase!$C:$C,"="&amp;$C21)=0,0,SUMIFS(DataBase!$F:$F,DataBase!$H:$H,"="&amp;MONTH(J$1),DataBase!$C:$C,"="&amp;$C21))</f>
        <v>0</v>
      </c>
      <c r="K21" s="30">
        <f>IF(SUMIFS(DataBase!$F:$F,DataBase!$H:$H,"="&amp;MONTH(K$1),DataBase!$C:$C,"="&amp;$C21)=0,0,SUMIFS(DataBase!$F:$F,DataBase!$H:$H,"="&amp;MONTH(K$1),DataBase!$C:$C,"="&amp;$C21))</f>
        <v>0</v>
      </c>
      <c r="L21" s="30">
        <f>IF(SUMIFS(DataBase!$F:$F,DataBase!$H:$H,"="&amp;MONTH(L$1),DataBase!$C:$C,"="&amp;$C21)=0,0,SUMIFS(DataBase!$F:$F,DataBase!$H:$H,"="&amp;MONTH(L$1),DataBase!$C:$C,"="&amp;$C21))</f>
        <v>0</v>
      </c>
      <c r="M21" s="30">
        <f>IF(SUMIFS(DataBase!$F:$F,DataBase!$H:$H,"="&amp;MONTH(M$1),DataBase!$C:$C,"="&amp;$C21)=0,0,SUMIFS(DataBase!$F:$F,DataBase!$H:$H,"="&amp;MONTH(M$1),DataBase!$C:$C,"="&amp;$C21))</f>
        <v>0</v>
      </c>
      <c r="N21" s="30">
        <f>IF(SUMIFS(DataBase!$F:$F,DataBase!$H:$H,"="&amp;MONTH(N$1),DataBase!$C:$C,"="&amp;$C21)=0,0,SUMIFS(DataBase!$F:$F,DataBase!$H:$H,"="&amp;MONTH(N$1),DataBase!$C:$C,"="&amp;$C21))</f>
        <v>0</v>
      </c>
      <c r="O21" s="30">
        <f>IF(SUMIFS(DataBase!$F:$F,DataBase!$H:$H,"="&amp;MONTH(O$1),DataBase!$C:$C,"="&amp;$C21)=0,0,SUMIFS(DataBase!$F:$F,DataBase!$H:$H,"="&amp;MONTH(O$1),DataBase!$C:$C,"="&amp;$C21))</f>
        <v>0</v>
      </c>
      <c r="P21" s="30">
        <f>IF(SUMIFS(DataBase!$F:$F,DataBase!$H:$H,"="&amp;MONTH(P$1),DataBase!$C:$C,"="&amp;$C21)=0,0,SUMIFS(DataBase!$F:$F,DataBase!$H:$H,"="&amp;MONTH(P$1),DataBase!$C:$C,"="&amp;$C21))</f>
        <v>0</v>
      </c>
      <c r="Q21" s="30">
        <f>IF(SUMIFS(DataBase!$F:$F,DataBase!$H:$H,"="&amp;MONTH(Q$1),DataBase!$C:$C,"="&amp;$C21)=0,0,SUMIFS(DataBase!$F:$F,DataBase!$H:$H,"="&amp;MONTH(Q$1),DataBase!$C:$C,"="&amp;$C21))</f>
        <v>0</v>
      </c>
      <c r="R21" s="30">
        <f>12*Identitas!$C$11-SUM(Daftar!F21:Q21)</f>
        <v>1440000</v>
      </c>
      <c r="S21" s="30">
        <f>SUMIFS(DataBase!I:I,DataBase!C:C,Daftar!C21)</f>
        <v>0</v>
      </c>
      <c r="T21" s="30">
        <f>SUMIFS(DataBase!J:J,DataBase!C:C,Daftar!C21)</f>
        <v>0</v>
      </c>
      <c r="U21" s="30">
        <f>SUMIFS(DataBase!K:K,DataBase!C:C,Daftar!C21)</f>
        <v>0</v>
      </c>
      <c r="V21" s="30">
        <f>SUMIFS(DataBase!L:L,DataBase!C:C,Daftar!C21)</f>
        <v>0</v>
      </c>
      <c r="W21" s="30">
        <f>SUMIFS(DataBase!M:M,DataBase!C:C,Daftar!C21)</f>
        <v>0</v>
      </c>
      <c r="X21" s="30">
        <f>SUMIFS(DataBase!N:N,DataBase!C:C,Daftar!C21)</f>
        <v>0</v>
      </c>
      <c r="Z21" s="30">
        <f>Identitas!$C$12-Daftar!S21</f>
        <v>1500000</v>
      </c>
      <c r="AA21" s="30">
        <f>Identitas!$C$13-Daftar!T21</f>
        <v>500000</v>
      </c>
      <c r="AB21" s="30">
        <f>Identitas!$C$14-Daftar!U21</f>
        <v>200000</v>
      </c>
      <c r="AC21" s="30">
        <f>Identitas!$C$15-Daftar!V21</f>
        <v>200000</v>
      </c>
      <c r="AD21" s="30">
        <f>Identitas!$C$16-Daftar!W21</f>
        <v>200000</v>
      </c>
      <c r="AE21" s="30">
        <f>Identitas!$C$17-Daftar!X21</f>
        <v>400000</v>
      </c>
      <c r="AF21" s="30">
        <f t="shared" si="0"/>
        <v>3000000</v>
      </c>
      <c r="AG21" s="30">
        <f>Tunggakan!H21</f>
        <v>0</v>
      </c>
      <c r="AH21" s="30">
        <f t="shared" si="2"/>
        <v>4440000</v>
      </c>
    </row>
    <row r="22" spans="1:34" x14ac:dyDescent="0.25">
      <c r="A22" s="30"/>
      <c r="B22" s="51">
        <v>18</v>
      </c>
      <c r="C22" s="52">
        <v>1618</v>
      </c>
      <c r="D22" s="51" t="s">
        <v>28</v>
      </c>
      <c r="E22" s="51" t="s">
        <v>20</v>
      </c>
      <c r="F22" s="30">
        <f>IF(SUMIFS(DataBase!$F:$F,DataBase!$H:$H,"="&amp;MONTH(F$1),DataBase!$C:$C,"="&amp;$C22)=0,0,SUMIFS(DataBase!$F:$F,DataBase!$H:$H,"="&amp;MONTH(F$1),DataBase!$C:$C,"="&amp;$C22))</f>
        <v>0</v>
      </c>
      <c r="G22" s="30">
        <f>IF(SUMIFS(DataBase!$F:$F,DataBase!$H:$H,"="&amp;MONTH(G$1),DataBase!$C:$C,"="&amp;$C22)=0,0,SUMIFS(DataBase!$F:$F,DataBase!$H:$H,"="&amp;MONTH(G$1),DataBase!$C:$C,"="&amp;$C22))</f>
        <v>0</v>
      </c>
      <c r="H22" s="30">
        <f>IF(SUMIFS(DataBase!$F:$F,DataBase!$H:$H,"="&amp;MONTH(H$1),DataBase!$C:$C,"="&amp;$C22)=0,0,SUMIFS(DataBase!$F:$F,DataBase!$H:$H,"="&amp;MONTH(H$1),DataBase!$C:$C,"="&amp;$C22))</f>
        <v>0</v>
      </c>
      <c r="I22" s="30">
        <f>IF(SUMIFS(DataBase!$F:$F,DataBase!$H:$H,"="&amp;MONTH(I$1),DataBase!$C:$C,"="&amp;$C22)=0,0,SUMIFS(DataBase!$F:$F,DataBase!$H:$H,"="&amp;MONTH(I$1),DataBase!$C:$C,"="&amp;$C22))</f>
        <v>0</v>
      </c>
      <c r="J22" s="30">
        <f>IF(SUMIFS(DataBase!$F:$F,DataBase!$H:$H,"="&amp;MONTH(J$1),DataBase!$C:$C,"="&amp;$C22)=0,0,SUMIFS(DataBase!$F:$F,DataBase!$H:$H,"="&amp;MONTH(J$1),DataBase!$C:$C,"="&amp;$C22))</f>
        <v>0</v>
      </c>
      <c r="K22" s="30">
        <f>IF(SUMIFS(DataBase!$F:$F,DataBase!$H:$H,"="&amp;MONTH(K$1),DataBase!$C:$C,"="&amp;$C22)=0,0,SUMIFS(DataBase!$F:$F,DataBase!$H:$H,"="&amp;MONTH(K$1),DataBase!$C:$C,"="&amp;$C22))</f>
        <v>0</v>
      </c>
      <c r="L22" s="30">
        <f>IF(SUMIFS(DataBase!$F:$F,DataBase!$H:$H,"="&amp;MONTH(L$1),DataBase!$C:$C,"="&amp;$C22)=0,0,SUMIFS(DataBase!$F:$F,DataBase!$H:$H,"="&amp;MONTH(L$1),DataBase!$C:$C,"="&amp;$C22))</f>
        <v>0</v>
      </c>
      <c r="M22" s="30">
        <f>IF(SUMIFS(DataBase!$F:$F,DataBase!$H:$H,"="&amp;MONTH(M$1),DataBase!$C:$C,"="&amp;$C22)=0,0,SUMIFS(DataBase!$F:$F,DataBase!$H:$H,"="&amp;MONTH(M$1),DataBase!$C:$C,"="&amp;$C22))</f>
        <v>0</v>
      </c>
      <c r="N22" s="30">
        <f>IF(SUMIFS(DataBase!$F:$F,DataBase!$H:$H,"="&amp;MONTH(N$1),DataBase!$C:$C,"="&amp;$C22)=0,0,SUMIFS(DataBase!$F:$F,DataBase!$H:$H,"="&amp;MONTH(N$1),DataBase!$C:$C,"="&amp;$C22))</f>
        <v>0</v>
      </c>
      <c r="O22" s="30">
        <f>IF(SUMIFS(DataBase!$F:$F,DataBase!$H:$H,"="&amp;MONTH(O$1),DataBase!$C:$C,"="&amp;$C22)=0,0,SUMIFS(DataBase!$F:$F,DataBase!$H:$H,"="&amp;MONTH(O$1),DataBase!$C:$C,"="&amp;$C22))</f>
        <v>0</v>
      </c>
      <c r="P22" s="30">
        <f>IF(SUMIFS(DataBase!$F:$F,DataBase!$H:$H,"="&amp;MONTH(P$1),DataBase!$C:$C,"="&amp;$C22)=0,0,SUMIFS(DataBase!$F:$F,DataBase!$H:$H,"="&amp;MONTH(P$1),DataBase!$C:$C,"="&amp;$C22))</f>
        <v>0</v>
      </c>
      <c r="Q22" s="30">
        <f>IF(SUMIFS(DataBase!$F:$F,DataBase!$H:$H,"="&amp;MONTH(Q$1),DataBase!$C:$C,"="&amp;$C22)=0,0,SUMIFS(DataBase!$F:$F,DataBase!$H:$H,"="&amp;MONTH(Q$1),DataBase!$C:$C,"="&amp;$C22))</f>
        <v>0</v>
      </c>
      <c r="R22" s="30">
        <f>12*Identitas!$C$11-SUM(Daftar!F22:Q22)</f>
        <v>1440000</v>
      </c>
      <c r="S22" s="30">
        <f>SUMIFS(DataBase!I:I,DataBase!C:C,Daftar!C22)</f>
        <v>0</v>
      </c>
      <c r="T22" s="30">
        <f>SUMIFS(DataBase!J:J,DataBase!C:C,Daftar!C22)</f>
        <v>0</v>
      </c>
      <c r="U22" s="30">
        <f>SUMIFS(DataBase!K:K,DataBase!C:C,Daftar!C22)</f>
        <v>0</v>
      </c>
      <c r="V22" s="30">
        <f>SUMIFS(DataBase!L:L,DataBase!C:C,Daftar!C22)</f>
        <v>0</v>
      </c>
      <c r="W22" s="30">
        <f>SUMIFS(DataBase!M:M,DataBase!C:C,Daftar!C22)</f>
        <v>0</v>
      </c>
      <c r="X22" s="30">
        <f>SUMIFS(DataBase!N:N,DataBase!C:C,Daftar!C22)</f>
        <v>0</v>
      </c>
      <c r="Z22" s="30">
        <f>Identitas!$C$12-Daftar!S22</f>
        <v>1500000</v>
      </c>
      <c r="AA22" s="30">
        <f>Identitas!$C$13-Daftar!T22</f>
        <v>500000</v>
      </c>
      <c r="AB22" s="30">
        <f>Identitas!$C$14-Daftar!U22</f>
        <v>200000</v>
      </c>
      <c r="AC22" s="30">
        <f>Identitas!$C$15-Daftar!V22</f>
        <v>200000</v>
      </c>
      <c r="AD22" s="30">
        <f>Identitas!$C$16-Daftar!W22</f>
        <v>200000</v>
      </c>
      <c r="AE22" s="30">
        <f>Identitas!$C$17-Daftar!X22</f>
        <v>400000</v>
      </c>
      <c r="AF22" s="30">
        <f t="shared" si="0"/>
        <v>3000000</v>
      </c>
      <c r="AG22" s="30">
        <f>Tunggakan!H22</f>
        <v>0</v>
      </c>
      <c r="AH22" s="30">
        <f t="shared" si="2"/>
        <v>4440000</v>
      </c>
    </row>
    <row r="23" spans="1:34" x14ac:dyDescent="0.25">
      <c r="B23" s="51">
        <v>19</v>
      </c>
      <c r="C23" s="52">
        <v>1619</v>
      </c>
      <c r="D23" s="51" t="s">
        <v>29</v>
      </c>
      <c r="E23" s="51" t="s">
        <v>20</v>
      </c>
      <c r="F23" s="30">
        <f>IF(SUMIFS(DataBase!$F:$F,DataBase!$H:$H,"="&amp;MONTH(F$1),DataBase!$C:$C,"="&amp;$C23)=0,0,SUMIFS(DataBase!$F:$F,DataBase!$H:$H,"="&amp;MONTH(F$1),DataBase!$C:$C,"="&amp;$C23))</f>
        <v>0</v>
      </c>
      <c r="G23" s="30">
        <f>IF(SUMIFS(DataBase!$F:$F,DataBase!$H:$H,"="&amp;MONTH(G$1),DataBase!$C:$C,"="&amp;$C23)=0,0,SUMIFS(DataBase!$F:$F,DataBase!$H:$H,"="&amp;MONTH(G$1),DataBase!$C:$C,"="&amp;$C23))</f>
        <v>0</v>
      </c>
      <c r="H23" s="30">
        <f>IF(SUMIFS(DataBase!$F:$F,DataBase!$H:$H,"="&amp;MONTH(H$1),DataBase!$C:$C,"="&amp;$C23)=0,0,SUMIFS(DataBase!$F:$F,DataBase!$H:$H,"="&amp;MONTH(H$1),DataBase!$C:$C,"="&amp;$C23))</f>
        <v>0</v>
      </c>
      <c r="I23" s="30">
        <f>IF(SUMIFS(DataBase!$F:$F,DataBase!$H:$H,"="&amp;MONTH(I$1),DataBase!$C:$C,"="&amp;$C23)=0,0,SUMIFS(DataBase!$F:$F,DataBase!$H:$H,"="&amp;MONTH(I$1),DataBase!$C:$C,"="&amp;$C23))</f>
        <v>0</v>
      </c>
      <c r="J23" s="30">
        <f>IF(SUMIFS(DataBase!$F:$F,DataBase!$H:$H,"="&amp;MONTH(J$1),DataBase!$C:$C,"="&amp;$C23)=0,0,SUMIFS(DataBase!$F:$F,DataBase!$H:$H,"="&amp;MONTH(J$1),DataBase!$C:$C,"="&amp;$C23))</f>
        <v>0</v>
      </c>
      <c r="K23" s="30">
        <f>IF(SUMIFS(DataBase!$F:$F,DataBase!$H:$H,"="&amp;MONTH(K$1),DataBase!$C:$C,"="&amp;$C23)=0,0,SUMIFS(DataBase!$F:$F,DataBase!$H:$H,"="&amp;MONTH(K$1),DataBase!$C:$C,"="&amp;$C23))</f>
        <v>0</v>
      </c>
      <c r="L23" s="30">
        <f>IF(SUMIFS(DataBase!$F:$F,DataBase!$H:$H,"="&amp;MONTH(L$1),DataBase!$C:$C,"="&amp;$C23)=0,0,SUMIFS(DataBase!$F:$F,DataBase!$H:$H,"="&amp;MONTH(L$1),DataBase!$C:$C,"="&amp;$C23))</f>
        <v>0</v>
      </c>
      <c r="M23" s="30">
        <f>IF(SUMIFS(DataBase!$F:$F,DataBase!$H:$H,"="&amp;MONTH(M$1),DataBase!$C:$C,"="&amp;$C23)=0,0,SUMIFS(DataBase!$F:$F,DataBase!$H:$H,"="&amp;MONTH(M$1),DataBase!$C:$C,"="&amp;$C23))</f>
        <v>0</v>
      </c>
      <c r="N23" s="30">
        <f>IF(SUMIFS(DataBase!$F:$F,DataBase!$H:$H,"="&amp;MONTH(N$1),DataBase!$C:$C,"="&amp;$C23)=0,0,SUMIFS(DataBase!$F:$F,DataBase!$H:$H,"="&amp;MONTH(N$1),DataBase!$C:$C,"="&amp;$C23))</f>
        <v>0</v>
      </c>
      <c r="O23" s="30">
        <f>IF(SUMIFS(DataBase!$F:$F,DataBase!$H:$H,"="&amp;MONTH(O$1),DataBase!$C:$C,"="&amp;$C23)=0,0,SUMIFS(DataBase!$F:$F,DataBase!$H:$H,"="&amp;MONTH(O$1),DataBase!$C:$C,"="&amp;$C23))</f>
        <v>0</v>
      </c>
      <c r="P23" s="30">
        <f>IF(SUMIFS(DataBase!$F:$F,DataBase!$H:$H,"="&amp;MONTH(P$1),DataBase!$C:$C,"="&amp;$C23)=0,0,SUMIFS(DataBase!$F:$F,DataBase!$H:$H,"="&amp;MONTH(P$1),DataBase!$C:$C,"="&amp;$C23))</f>
        <v>0</v>
      </c>
      <c r="Q23" s="30">
        <f>IF(SUMIFS(DataBase!$F:$F,DataBase!$H:$H,"="&amp;MONTH(Q$1),DataBase!$C:$C,"="&amp;$C23)=0,0,SUMIFS(DataBase!$F:$F,DataBase!$H:$H,"="&amp;MONTH(Q$1),DataBase!$C:$C,"="&amp;$C23))</f>
        <v>0</v>
      </c>
      <c r="R23" s="30">
        <f>12*Identitas!$C$11-SUM(Daftar!F23:Q23)</f>
        <v>1440000</v>
      </c>
      <c r="S23" s="30">
        <f>SUMIFS(DataBase!I:I,DataBase!C:C,Daftar!C23)</f>
        <v>0</v>
      </c>
      <c r="T23" s="30">
        <f>SUMIFS(DataBase!J:J,DataBase!C:C,Daftar!C23)</f>
        <v>0</v>
      </c>
      <c r="U23" s="30">
        <f>SUMIFS(DataBase!K:K,DataBase!C:C,Daftar!C23)</f>
        <v>0</v>
      </c>
      <c r="V23" s="30">
        <f>SUMIFS(DataBase!L:L,DataBase!C:C,Daftar!C23)</f>
        <v>0</v>
      </c>
      <c r="W23" s="30">
        <f>SUMIFS(DataBase!M:M,DataBase!C:C,Daftar!C23)</f>
        <v>0</v>
      </c>
      <c r="X23" s="30">
        <f>SUMIFS(DataBase!N:N,DataBase!C:C,Daftar!C23)</f>
        <v>0</v>
      </c>
      <c r="Z23" s="30">
        <f>Identitas!$C$12-Daftar!S23</f>
        <v>1500000</v>
      </c>
      <c r="AA23" s="30">
        <f>Identitas!$C$13-Daftar!T23</f>
        <v>500000</v>
      </c>
      <c r="AB23" s="30">
        <f>Identitas!$C$14-Daftar!U23</f>
        <v>200000</v>
      </c>
      <c r="AC23" s="30">
        <f>Identitas!$C$15-Daftar!V23</f>
        <v>200000</v>
      </c>
      <c r="AD23" s="30">
        <f>Identitas!$C$16-Daftar!W23</f>
        <v>200000</v>
      </c>
      <c r="AE23" s="30">
        <f>Identitas!$C$17-Daftar!X23</f>
        <v>400000</v>
      </c>
      <c r="AF23" s="30">
        <f t="shared" si="0"/>
        <v>3000000</v>
      </c>
      <c r="AG23" s="30">
        <f>Tunggakan!H23</f>
        <v>0</v>
      </c>
      <c r="AH23" s="30">
        <f t="shared" si="2"/>
        <v>4440000</v>
      </c>
    </row>
    <row r="24" spans="1:34" x14ac:dyDescent="0.25">
      <c r="B24" s="51">
        <v>20</v>
      </c>
      <c r="C24" s="52">
        <v>1620</v>
      </c>
      <c r="D24" s="51" t="s">
        <v>30</v>
      </c>
      <c r="E24" s="51" t="s">
        <v>20</v>
      </c>
      <c r="F24" s="30">
        <f>IF(SUMIFS(DataBase!$F:$F,DataBase!$H:$H,"="&amp;MONTH(F$1),DataBase!$C:$C,"="&amp;$C24)=0,0,SUMIFS(DataBase!$F:$F,DataBase!$H:$H,"="&amp;MONTH(F$1),DataBase!$C:$C,"="&amp;$C24))</f>
        <v>0</v>
      </c>
      <c r="G24" s="30">
        <f>IF(SUMIFS(DataBase!$F:$F,DataBase!$H:$H,"="&amp;MONTH(G$1),DataBase!$C:$C,"="&amp;$C24)=0,0,SUMIFS(DataBase!$F:$F,DataBase!$H:$H,"="&amp;MONTH(G$1),DataBase!$C:$C,"="&amp;$C24))</f>
        <v>0</v>
      </c>
      <c r="H24" s="30">
        <f>IF(SUMIFS(DataBase!$F:$F,DataBase!$H:$H,"="&amp;MONTH(H$1),DataBase!$C:$C,"="&amp;$C24)=0,0,SUMIFS(DataBase!$F:$F,DataBase!$H:$H,"="&amp;MONTH(H$1),DataBase!$C:$C,"="&amp;$C24))</f>
        <v>0</v>
      </c>
      <c r="I24" s="30">
        <f>IF(SUMIFS(DataBase!$F:$F,DataBase!$H:$H,"="&amp;MONTH(I$1),DataBase!$C:$C,"="&amp;$C24)=0,0,SUMIFS(DataBase!$F:$F,DataBase!$H:$H,"="&amp;MONTH(I$1),DataBase!$C:$C,"="&amp;$C24))</f>
        <v>0</v>
      </c>
      <c r="J24" s="30">
        <f>IF(SUMIFS(DataBase!$F:$F,DataBase!$H:$H,"="&amp;MONTH(J$1),DataBase!$C:$C,"="&amp;$C24)=0,0,SUMIFS(DataBase!$F:$F,DataBase!$H:$H,"="&amp;MONTH(J$1),DataBase!$C:$C,"="&amp;$C24))</f>
        <v>0</v>
      </c>
      <c r="K24" s="30">
        <f>IF(SUMIFS(DataBase!$F:$F,DataBase!$H:$H,"="&amp;MONTH(K$1),DataBase!$C:$C,"="&amp;$C24)=0,0,SUMIFS(DataBase!$F:$F,DataBase!$H:$H,"="&amp;MONTH(K$1),DataBase!$C:$C,"="&amp;$C24))</f>
        <v>0</v>
      </c>
      <c r="L24" s="30">
        <f>IF(SUMIFS(DataBase!$F:$F,DataBase!$H:$H,"="&amp;MONTH(L$1),DataBase!$C:$C,"="&amp;$C24)=0,0,SUMIFS(DataBase!$F:$F,DataBase!$H:$H,"="&amp;MONTH(L$1),DataBase!$C:$C,"="&amp;$C24))</f>
        <v>0</v>
      </c>
      <c r="M24" s="30">
        <f>IF(SUMIFS(DataBase!$F:$F,DataBase!$H:$H,"="&amp;MONTH(M$1),DataBase!$C:$C,"="&amp;$C24)=0,0,SUMIFS(DataBase!$F:$F,DataBase!$H:$H,"="&amp;MONTH(M$1),DataBase!$C:$C,"="&amp;$C24))</f>
        <v>0</v>
      </c>
      <c r="N24" s="30">
        <f>IF(SUMIFS(DataBase!$F:$F,DataBase!$H:$H,"="&amp;MONTH(N$1),DataBase!$C:$C,"="&amp;$C24)=0,0,SUMIFS(DataBase!$F:$F,DataBase!$H:$H,"="&amp;MONTH(N$1),DataBase!$C:$C,"="&amp;$C24))</f>
        <v>0</v>
      </c>
      <c r="O24" s="30">
        <f>IF(SUMIFS(DataBase!$F:$F,DataBase!$H:$H,"="&amp;MONTH(O$1),DataBase!$C:$C,"="&amp;$C24)=0,0,SUMIFS(DataBase!$F:$F,DataBase!$H:$H,"="&amp;MONTH(O$1),DataBase!$C:$C,"="&amp;$C24))</f>
        <v>0</v>
      </c>
      <c r="P24" s="30">
        <f>IF(SUMIFS(DataBase!$F:$F,DataBase!$H:$H,"="&amp;MONTH(P$1),DataBase!$C:$C,"="&amp;$C24)=0,0,SUMIFS(DataBase!$F:$F,DataBase!$H:$H,"="&amp;MONTH(P$1),DataBase!$C:$C,"="&amp;$C24))</f>
        <v>0</v>
      </c>
      <c r="Q24" s="30">
        <f>IF(SUMIFS(DataBase!$F:$F,DataBase!$H:$H,"="&amp;MONTH(Q$1),DataBase!$C:$C,"="&amp;$C24)=0,0,SUMIFS(DataBase!$F:$F,DataBase!$H:$H,"="&amp;MONTH(Q$1),DataBase!$C:$C,"="&amp;$C24))</f>
        <v>0</v>
      </c>
      <c r="R24" s="30">
        <f>12*Identitas!$C$11-SUM(Daftar!F24:Q24)</f>
        <v>1440000</v>
      </c>
      <c r="S24" s="30">
        <f>SUMIFS(DataBase!I:I,DataBase!C:C,Daftar!C24)</f>
        <v>0</v>
      </c>
      <c r="T24" s="30">
        <f>SUMIFS(DataBase!J:J,DataBase!C:C,Daftar!C24)</f>
        <v>0</v>
      </c>
      <c r="U24" s="30">
        <f>SUMIFS(DataBase!K:K,DataBase!C:C,Daftar!C24)</f>
        <v>0</v>
      </c>
      <c r="V24" s="30">
        <f>SUMIFS(DataBase!L:L,DataBase!C:C,Daftar!C24)</f>
        <v>0</v>
      </c>
      <c r="W24" s="30">
        <f>SUMIFS(DataBase!M:M,DataBase!C:C,Daftar!C24)</f>
        <v>0</v>
      </c>
      <c r="X24" s="30">
        <f>SUMIFS(DataBase!N:N,DataBase!C:C,Daftar!C24)</f>
        <v>0</v>
      </c>
      <c r="Z24" s="30">
        <f>Identitas!$C$12-Daftar!S24</f>
        <v>1500000</v>
      </c>
      <c r="AA24" s="30">
        <f>Identitas!$C$13-Daftar!T24</f>
        <v>500000</v>
      </c>
      <c r="AB24" s="30">
        <f>Identitas!$C$14-Daftar!U24</f>
        <v>200000</v>
      </c>
      <c r="AC24" s="30">
        <f>Identitas!$C$15-Daftar!V24</f>
        <v>200000</v>
      </c>
      <c r="AD24" s="30">
        <f>Identitas!$C$16-Daftar!W24</f>
        <v>200000</v>
      </c>
      <c r="AE24" s="30">
        <f>Identitas!$C$17-Daftar!X24</f>
        <v>400000</v>
      </c>
      <c r="AF24" s="30">
        <f t="shared" si="0"/>
        <v>3000000</v>
      </c>
      <c r="AG24" s="30">
        <f>Tunggakan!H24</f>
        <v>0</v>
      </c>
      <c r="AH24" s="30">
        <f t="shared" si="2"/>
        <v>4440000</v>
      </c>
    </row>
  </sheetData>
  <sheetProtection sheet="1" objects="1" scenarios="1"/>
  <mergeCells count="8">
    <mergeCell ref="Z3:AF3"/>
    <mergeCell ref="B2:AH2"/>
    <mergeCell ref="F3:Q3"/>
    <mergeCell ref="B3:B4"/>
    <mergeCell ref="C3:C4"/>
    <mergeCell ref="D3:D4"/>
    <mergeCell ref="E3:E4"/>
    <mergeCell ref="S3:X3"/>
  </mergeCells>
  <conditionalFormatting sqref="F1:AH1 F3:AH1048576">
    <cfRule type="expression" dxfId="1" priority="2">
      <formula>$B1</formula>
    </cfRule>
  </conditionalFormatting>
  <conditionalFormatting sqref="B1:E1 B3:E1048576 B2">
    <cfRule type="expression" dxfId="0" priority="1">
      <formula>$B1&lt;&gt;""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K35"/>
  <sheetViews>
    <sheetView showGridLines="0" topLeftCell="A6" zoomScaleNormal="100" workbookViewId="0">
      <selection activeCell="M27" sqref="M27:N27"/>
    </sheetView>
  </sheetViews>
  <sheetFormatPr defaultRowHeight="15" x14ac:dyDescent="0.25"/>
  <cols>
    <col min="1" max="1" width="5.28515625" style="63" customWidth="1"/>
    <col min="2" max="2" width="1.85546875" style="63" customWidth="1"/>
    <col min="3" max="3" width="9.85546875" style="63" customWidth="1"/>
    <col min="4" max="4" width="1.85546875" style="63" customWidth="1"/>
    <col min="5" max="5" width="1.42578125" style="63" customWidth="1"/>
    <col min="6" max="6" width="14" style="63" customWidth="1"/>
    <col min="7" max="7" width="13.42578125" style="63" customWidth="1"/>
    <col min="8" max="8" width="1.28515625" style="63" customWidth="1"/>
    <col min="9" max="9" width="6.42578125" style="63" customWidth="1"/>
    <col min="10" max="10" width="13.42578125" style="63" customWidth="1"/>
    <col min="11" max="11" width="1.42578125" style="63" customWidth="1"/>
    <col min="12" max="16384" width="9.140625" style="63"/>
  </cols>
  <sheetData>
    <row r="1" spans="3:11" hidden="1" x14ac:dyDescent="0.25"/>
    <row r="2" spans="3:11" hidden="1" x14ac:dyDescent="0.25"/>
    <row r="3" spans="3:11" hidden="1" x14ac:dyDescent="0.25"/>
    <row r="4" spans="3:11" hidden="1" x14ac:dyDescent="0.25"/>
    <row r="5" spans="3:11" hidden="1" x14ac:dyDescent="0.25"/>
    <row r="7" spans="3:11" ht="23.25" customHeight="1" x14ac:dyDescent="0.25">
      <c r="C7" s="49">
        <v>1610</v>
      </c>
      <c r="E7" s="64"/>
      <c r="F7" s="93" t="s">
        <v>59</v>
      </c>
      <c r="G7" s="93"/>
      <c r="H7" s="93"/>
      <c r="I7" s="93"/>
      <c r="J7" s="93"/>
      <c r="K7" s="64"/>
    </row>
    <row r="8" spans="3:11" ht="16.5" customHeight="1" x14ac:dyDescent="0.3">
      <c r="E8" s="64"/>
      <c r="F8" s="94" t="str">
        <f>UPPER(Identitas!C4)</f>
        <v>SMA AMARTA</v>
      </c>
      <c r="G8" s="94"/>
      <c r="H8" s="94"/>
      <c r="I8" s="94"/>
      <c r="J8" s="94"/>
      <c r="K8" s="64"/>
    </row>
    <row r="9" spans="3:11" s="65" customFormat="1" ht="9" customHeight="1" x14ac:dyDescent="0.2">
      <c r="E9" s="66"/>
      <c r="F9" s="95" t="str">
        <f>"Alamat: "&amp;Identitas!C5</f>
        <v>Alamat: Kalasan, Sleman, Yogyakarta</v>
      </c>
      <c r="G9" s="95"/>
      <c r="H9" s="95"/>
      <c r="I9" s="95"/>
      <c r="J9" s="95"/>
      <c r="K9" s="66"/>
    </row>
    <row r="10" spans="3:11" s="65" customFormat="1" ht="12" customHeight="1" x14ac:dyDescent="0.2">
      <c r="E10" s="66"/>
      <c r="F10" s="95" t="str">
        <f>"Tilpun: "&amp;Identitas!C7</f>
        <v>Tilpun: 081227225151</v>
      </c>
      <c r="G10" s="95"/>
      <c r="H10" s="95"/>
      <c r="I10" s="95"/>
      <c r="J10" s="95"/>
      <c r="K10" s="66"/>
    </row>
    <row r="11" spans="3:11" s="65" customFormat="1" ht="12" customHeight="1" thickBot="1" x14ac:dyDescent="0.25">
      <c r="E11" s="66"/>
      <c r="F11" s="96" t="str">
        <f>"E-mail: "&amp;Identitas!C6</f>
        <v>E-mail: margonosmikkalasan@gmail.com</v>
      </c>
      <c r="G11" s="96"/>
      <c r="H11" s="96"/>
      <c r="I11" s="96"/>
      <c r="J11" s="96"/>
      <c r="K11" s="66"/>
    </row>
    <row r="12" spans="3:11" ht="4.5" customHeight="1" thickTop="1" x14ac:dyDescent="0.25">
      <c r="E12" s="64"/>
      <c r="F12" s="64"/>
      <c r="G12" s="64"/>
      <c r="H12" s="64"/>
      <c r="I12" s="64"/>
      <c r="J12" s="64"/>
      <c r="K12" s="64"/>
    </row>
    <row r="13" spans="3:11" x14ac:dyDescent="0.25">
      <c r="E13" s="64"/>
      <c r="F13" s="67" t="s">
        <v>2</v>
      </c>
      <c r="G13" s="98">
        <f>C7</f>
        <v>1610</v>
      </c>
      <c r="H13" s="99"/>
      <c r="I13" s="99"/>
      <c r="J13" s="100"/>
      <c r="K13" s="64"/>
    </row>
    <row r="14" spans="3:11" x14ac:dyDescent="0.25">
      <c r="E14" s="64"/>
      <c r="F14" s="67" t="s">
        <v>1</v>
      </c>
      <c r="G14" s="98" t="str">
        <f>VLOOKUP($G$13,Daftar!C:Q,2,FALSE)</f>
        <v>Nama10</v>
      </c>
      <c r="H14" s="99"/>
      <c r="I14" s="99"/>
      <c r="J14" s="100"/>
      <c r="K14" s="64"/>
    </row>
    <row r="15" spans="3:11" x14ac:dyDescent="0.25">
      <c r="E15" s="64"/>
      <c r="F15" s="67" t="s">
        <v>3</v>
      </c>
      <c r="G15" s="98" t="str">
        <f>VLOOKUP($G$13,Daftar!C:Q,3,FALSE)</f>
        <v>AP A</v>
      </c>
      <c r="H15" s="99"/>
      <c r="I15" s="99"/>
      <c r="J15" s="100"/>
      <c r="K15" s="64"/>
    </row>
    <row r="16" spans="3:11" ht="5.25" customHeight="1" x14ac:dyDescent="0.25">
      <c r="E16" s="64"/>
      <c r="F16" s="64"/>
      <c r="G16" s="64"/>
      <c r="H16" s="68"/>
      <c r="I16" s="64"/>
      <c r="J16" s="64"/>
      <c r="K16" s="64"/>
    </row>
    <row r="17" spans="5:11" ht="16.5" x14ac:dyDescent="0.3">
      <c r="E17" s="64"/>
      <c r="F17" s="101" t="s">
        <v>47</v>
      </c>
      <c r="G17" s="102"/>
      <c r="H17" s="69"/>
      <c r="I17" s="101" t="s">
        <v>48</v>
      </c>
      <c r="J17" s="102"/>
      <c r="K17" s="64"/>
    </row>
    <row r="18" spans="5:11" ht="16.5" x14ac:dyDescent="0.3">
      <c r="E18" s="64"/>
      <c r="F18" s="70" t="str">
        <f>"Juli "&amp;LEFT(Input!$F$10,4)</f>
        <v>Juli 2017</v>
      </c>
      <c r="G18" s="71" t="str">
        <f>IF(VLOOKUP($G$13,Daftar!C:Q,4,FALSE)=0,"",VLOOKUP($G$13,Daftar!C:Q,4,FALSE))</f>
        <v/>
      </c>
      <c r="H18" s="69"/>
      <c r="I18" s="70" t="s">
        <v>32</v>
      </c>
      <c r="J18" s="71" t="str">
        <f>IF(VLOOKUP($G$13,Daftar!C:X,17,FALSE)=0,"",VLOOKUP($G$13,Daftar!C:X,17,FALSE))</f>
        <v/>
      </c>
      <c r="K18" s="64"/>
    </row>
    <row r="19" spans="5:11" ht="16.5" x14ac:dyDescent="0.3">
      <c r="E19" s="64"/>
      <c r="F19" s="70" t="str">
        <f>"Agustus "&amp;LEFT(Input!$F$10,4)</f>
        <v>Agustus 2017</v>
      </c>
      <c r="G19" s="71" t="str">
        <f>IF(VLOOKUP($G$13,Daftar!C:Q,5,FALSE)=0,"",VLOOKUP($G$13,Daftar!C:Q,5,FALSE))</f>
        <v/>
      </c>
      <c r="H19" s="69"/>
      <c r="I19" s="70" t="s">
        <v>33</v>
      </c>
      <c r="J19" s="71" t="str">
        <f>IF(VLOOKUP($G$13,Daftar!C:X,18,FALSE)=0,"",VLOOKUP($G$13,Daftar!C:X,18,FALSE))</f>
        <v/>
      </c>
      <c r="K19" s="64"/>
    </row>
    <row r="20" spans="5:11" ht="16.5" x14ac:dyDescent="0.3">
      <c r="E20" s="64"/>
      <c r="F20" s="70" t="str">
        <f>"September "&amp;LEFT(Input!$F$10,4)</f>
        <v>September 2017</v>
      </c>
      <c r="G20" s="71" t="str">
        <f>IF(VLOOKUP($G$13,Daftar!C:Q,6,FALSE)=0,"",VLOOKUP($G$13,Daftar!C:Q,6,FALSE))</f>
        <v/>
      </c>
      <c r="H20" s="69"/>
      <c r="I20" s="70" t="s">
        <v>34</v>
      </c>
      <c r="J20" s="71" t="str">
        <f>IF(VLOOKUP($G$13,Daftar!C:X,19,FALSE)=0,"",VLOOKUP($G$13,Daftar!C:X,19,FALSE))</f>
        <v/>
      </c>
      <c r="K20" s="64"/>
    </row>
    <row r="21" spans="5:11" ht="16.5" x14ac:dyDescent="0.3">
      <c r="E21" s="64"/>
      <c r="F21" s="70" t="str">
        <f>"Oktober "&amp;LEFT(Input!$F$10,4)</f>
        <v>Oktober 2017</v>
      </c>
      <c r="G21" s="71" t="str">
        <f>IF(VLOOKUP($G$13,Daftar!C:Q,7,FALSE)=0,"",VLOOKUP($G$13,Daftar!C:Q,7,FALSE))</f>
        <v/>
      </c>
      <c r="H21" s="69"/>
      <c r="I21" s="70" t="s">
        <v>35</v>
      </c>
      <c r="J21" s="71" t="str">
        <f>IF(VLOOKUP($G$13,Daftar!C:X,20,FALSE)=0,"",VLOOKUP($G$13,Daftar!C:X,20,FALSE))</f>
        <v/>
      </c>
      <c r="K21" s="64"/>
    </row>
    <row r="22" spans="5:11" ht="16.5" x14ac:dyDescent="0.3">
      <c r="E22" s="64"/>
      <c r="F22" s="70" t="str">
        <f>"November "&amp;LEFT(Input!$F$10,4)</f>
        <v>November 2017</v>
      </c>
      <c r="G22" s="71" t="str">
        <f>IF(VLOOKUP($G$13,Daftar!C:Q,8,FALSE)=0,"",VLOOKUP($G$13,Daftar!C:Q,8,FALSE))</f>
        <v/>
      </c>
      <c r="H22" s="69"/>
      <c r="I22" s="70" t="s">
        <v>36</v>
      </c>
      <c r="J22" s="71" t="str">
        <f>IF(VLOOKUP($G$13,Daftar!C:X,21,FALSE)=0,"",VLOOKUP($G$13,Daftar!C:X,21,FALSE))</f>
        <v/>
      </c>
      <c r="K22" s="64"/>
    </row>
    <row r="23" spans="5:11" ht="16.5" x14ac:dyDescent="0.3">
      <c r="E23" s="64"/>
      <c r="F23" s="70" t="str">
        <f>"Desember "&amp;LEFT(Input!$F$10,4)</f>
        <v>Desember 2017</v>
      </c>
      <c r="G23" s="71" t="str">
        <f>IF(VLOOKUP($G$13,Daftar!C:Q,9,FALSE)=0,"",VLOOKUP($G$13,Daftar!C:Q,9,FALSE))</f>
        <v/>
      </c>
      <c r="H23" s="69"/>
      <c r="I23" s="70" t="s">
        <v>37</v>
      </c>
      <c r="J23" s="71" t="str">
        <f>IF(VLOOKUP($G$13,Daftar!C:X,22,FALSE)=0,"",VLOOKUP($G$13,Daftar!C:X,22,FALSE))</f>
        <v/>
      </c>
      <c r="K23" s="64"/>
    </row>
    <row r="24" spans="5:11" ht="16.5" x14ac:dyDescent="0.3">
      <c r="E24" s="64"/>
      <c r="F24" s="70" t="str">
        <f>"Januari "&amp;RIGHT(Input!$F$10,4)</f>
        <v>Januari 2018</v>
      </c>
      <c r="G24" s="71" t="str">
        <f>IF(VLOOKUP($G$13,Daftar!C:Q,10,FALSE)=0,"",VLOOKUP($G$13,Daftar!C:Q,10,FALSE))</f>
        <v/>
      </c>
      <c r="H24" s="69"/>
      <c r="I24" s="69"/>
      <c r="J24" s="69"/>
      <c r="K24" s="64"/>
    </row>
    <row r="25" spans="5:11" ht="16.5" x14ac:dyDescent="0.3">
      <c r="E25" s="64"/>
      <c r="F25" s="70" t="str">
        <f>"Februari "&amp;RIGHT(Input!$F$10,4)</f>
        <v>Februari 2018</v>
      </c>
      <c r="G25" s="71" t="str">
        <f>IF(VLOOKUP($G$13,Daftar!C:Q,11,FALSE)=0,"",VLOOKUP($G$13,Daftar!C:Q,11,FALSE))</f>
        <v/>
      </c>
      <c r="H25" s="69"/>
      <c r="I25" s="69"/>
      <c r="J25" s="69"/>
      <c r="K25" s="64"/>
    </row>
    <row r="26" spans="5:11" ht="16.5" x14ac:dyDescent="0.3">
      <c r="E26" s="64"/>
      <c r="F26" s="70" t="str">
        <f>"Maret "&amp;RIGHT(Input!$F$10,4)</f>
        <v>Maret 2018</v>
      </c>
      <c r="G26" s="71" t="str">
        <f>IF(VLOOKUP($G$13,Daftar!C:Q,12,FALSE)=0,"",VLOOKUP($G$13,Daftar!C:Q,12,FALSE))</f>
        <v/>
      </c>
      <c r="H26" s="69"/>
      <c r="I26" s="69"/>
      <c r="J26" s="69"/>
      <c r="K26" s="64"/>
    </row>
    <row r="27" spans="5:11" ht="16.5" x14ac:dyDescent="0.3">
      <c r="E27" s="64"/>
      <c r="F27" s="70" t="str">
        <f>"April "&amp;RIGHT(Input!$F$10,4)</f>
        <v>April 2018</v>
      </c>
      <c r="G27" s="71" t="str">
        <f>IF(VLOOKUP($G$13,Daftar!C:Q,13,FALSE)=0,"",VLOOKUP($G$13,Daftar!C:Q,13,FALSE))</f>
        <v/>
      </c>
      <c r="H27" s="69"/>
      <c r="I27" s="69"/>
      <c r="J27" s="69"/>
      <c r="K27" s="64"/>
    </row>
    <row r="28" spans="5:11" ht="16.5" x14ac:dyDescent="0.3">
      <c r="E28" s="64"/>
      <c r="F28" s="70" t="str">
        <f>"Mei "&amp;RIGHT(Input!$F$10,4)</f>
        <v>Mei 2018</v>
      </c>
      <c r="G28" s="71" t="str">
        <f>IF(VLOOKUP($G$13,Daftar!C:Q,14,FALSE)=0,"",VLOOKUP($G$13,Daftar!C:Q,14,FALSE))</f>
        <v/>
      </c>
      <c r="H28" s="69"/>
      <c r="I28" s="69"/>
      <c r="J28" s="69"/>
      <c r="K28" s="64"/>
    </row>
    <row r="29" spans="5:11" ht="16.5" x14ac:dyDescent="0.3">
      <c r="E29" s="64"/>
      <c r="F29" s="70" t="str">
        <f>"Juni "&amp;RIGHT(Input!$F$10,4)</f>
        <v>Juni 2018</v>
      </c>
      <c r="G29" s="71" t="str">
        <f>IF(VLOOKUP($G$13,Daftar!C:Q,15,FALSE)=0,"",VLOOKUP($G$13,Daftar!C:Q,15,FALSE))</f>
        <v/>
      </c>
      <c r="H29" s="69"/>
      <c r="I29" s="69"/>
      <c r="J29" s="69"/>
      <c r="K29" s="64"/>
    </row>
    <row r="30" spans="5:11" ht="4.5" customHeight="1" x14ac:dyDescent="0.3">
      <c r="E30" s="64"/>
      <c r="F30" s="72"/>
      <c r="G30" s="72"/>
      <c r="H30" s="69"/>
      <c r="I30" s="72"/>
      <c r="J30" s="72"/>
      <c r="K30" s="64"/>
    </row>
    <row r="31" spans="5:11" ht="16.5" x14ac:dyDescent="0.3">
      <c r="E31" s="64"/>
      <c r="F31" s="72"/>
      <c r="G31" s="72"/>
      <c r="H31" s="73" t="s">
        <v>52</v>
      </c>
      <c r="I31" s="97">
        <f ca="1">NOW()</f>
        <v>42787.47210983796</v>
      </c>
      <c r="J31" s="97"/>
      <c r="K31" s="64"/>
    </row>
    <row r="32" spans="5:11" ht="16.5" x14ac:dyDescent="0.3">
      <c r="E32" s="64"/>
      <c r="F32" s="72"/>
      <c r="G32" s="72"/>
      <c r="H32" s="72"/>
      <c r="I32" s="72" t="s">
        <v>53</v>
      </c>
      <c r="J32" s="72"/>
      <c r="K32" s="64"/>
    </row>
    <row r="33" spans="5:11" ht="25.5" customHeight="1" x14ac:dyDescent="0.3">
      <c r="E33" s="64"/>
      <c r="F33" s="72"/>
      <c r="G33" s="72"/>
      <c r="H33" s="72"/>
      <c r="I33" s="72"/>
      <c r="J33" s="72"/>
      <c r="K33" s="64"/>
    </row>
    <row r="34" spans="5:11" ht="16.5" x14ac:dyDescent="0.3">
      <c r="E34" s="64"/>
      <c r="F34" s="72"/>
      <c r="G34" s="72"/>
      <c r="H34" s="72"/>
      <c r="I34" s="72">
        <f>Identitas!C9</f>
        <v>0</v>
      </c>
      <c r="J34" s="72"/>
      <c r="K34" s="64"/>
    </row>
    <row r="35" spans="5:11" ht="4.5" customHeight="1" x14ac:dyDescent="0.25">
      <c r="E35" s="64"/>
      <c r="F35" s="64"/>
      <c r="G35" s="64"/>
      <c r="H35" s="64"/>
      <c r="I35" s="64"/>
      <c r="J35" s="64"/>
      <c r="K35" s="64"/>
    </row>
  </sheetData>
  <sheetProtection sheet="1" objects="1" scenarios="1"/>
  <mergeCells count="11">
    <mergeCell ref="I31:J31"/>
    <mergeCell ref="G13:J13"/>
    <mergeCell ref="G14:J14"/>
    <mergeCell ref="G15:J15"/>
    <mergeCell ref="F17:G17"/>
    <mergeCell ref="I17:J17"/>
    <mergeCell ref="F7:J7"/>
    <mergeCell ref="F8:J8"/>
    <mergeCell ref="F9:J9"/>
    <mergeCell ref="F10:J10"/>
    <mergeCell ref="F11:J11"/>
  </mergeCells>
  <pageMargins left="0.7" right="0.7" top="0.75" bottom="0.75" header="0.3" footer="0.3"/>
  <pageSetup scale="9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9"/>
  <sheetViews>
    <sheetView showGridLines="0" topLeftCell="A8" zoomScale="110" zoomScaleNormal="110" workbookViewId="0">
      <selection activeCell="I28" sqref="I28"/>
    </sheetView>
  </sheetViews>
  <sheetFormatPr defaultRowHeight="16.5" x14ac:dyDescent="0.3"/>
  <cols>
    <col min="1" max="1" width="10" style="74" customWidth="1"/>
    <col min="2" max="2" width="16.42578125" style="74" customWidth="1"/>
    <col min="3" max="3" width="2.140625" style="74" customWidth="1"/>
    <col min="4" max="4" width="17.140625" style="74" customWidth="1"/>
    <col min="5" max="5" width="3" style="74" customWidth="1"/>
    <col min="6" max="16384" width="9.140625" style="74"/>
  </cols>
  <sheetData>
    <row r="1" spans="1:4" hidden="1" x14ac:dyDescent="0.3"/>
    <row r="2" spans="1:4" hidden="1" x14ac:dyDescent="0.3"/>
    <row r="3" spans="1:4" hidden="1" x14ac:dyDescent="0.3"/>
    <row r="4" spans="1:4" hidden="1" x14ac:dyDescent="0.3"/>
    <row r="5" spans="1:4" hidden="1" x14ac:dyDescent="0.3"/>
    <row r="6" spans="1:4" hidden="1" x14ac:dyDescent="0.3"/>
    <row r="7" spans="1:4" hidden="1" x14ac:dyDescent="0.3"/>
    <row r="9" spans="1:4" x14ac:dyDescent="0.3">
      <c r="B9" s="69" t="s">
        <v>0</v>
      </c>
      <c r="C9" s="69" t="s">
        <v>22</v>
      </c>
      <c r="D9" s="75">
        <v>4</v>
      </c>
    </row>
    <row r="10" spans="1:4" ht="21.75" customHeight="1" x14ac:dyDescent="0.3">
      <c r="B10" s="69" t="s">
        <v>54</v>
      </c>
      <c r="C10" s="69"/>
      <c r="D10" s="69"/>
    </row>
    <row r="11" spans="1:4" x14ac:dyDescent="0.3">
      <c r="A11" s="76"/>
      <c r="B11" s="69" t="s">
        <v>1</v>
      </c>
      <c r="C11" s="69" t="s">
        <v>22</v>
      </c>
      <c r="D11" s="69" t="s">
        <v>13</v>
      </c>
    </row>
    <row r="12" spans="1:4" x14ac:dyDescent="0.3">
      <c r="A12" s="76"/>
      <c r="B12" s="69" t="s">
        <v>3</v>
      </c>
      <c r="C12" s="69" t="s">
        <v>22</v>
      </c>
      <c r="D12" s="69" t="s">
        <v>20</v>
      </c>
    </row>
    <row r="13" spans="1:4" x14ac:dyDescent="0.3">
      <c r="A13" s="76"/>
      <c r="B13" s="69" t="s">
        <v>49</v>
      </c>
      <c r="C13" s="69" t="s">
        <v>22</v>
      </c>
      <c r="D13" s="77">
        <f>SUM(D16:D23)</f>
        <v>0</v>
      </c>
    </row>
    <row r="14" spans="1:4" x14ac:dyDescent="0.3">
      <c r="A14" s="76"/>
      <c r="B14" s="69"/>
      <c r="C14" s="69"/>
      <c r="D14" s="77"/>
    </row>
    <row r="15" spans="1:4" x14ac:dyDescent="0.3">
      <c r="A15" s="76"/>
      <c r="B15" s="69" t="s">
        <v>50</v>
      </c>
      <c r="C15" s="69"/>
      <c r="D15" s="77"/>
    </row>
    <row r="16" spans="1:4" hidden="1" x14ac:dyDescent="0.3">
      <c r="B16" s="69" t="s">
        <v>38</v>
      </c>
      <c r="C16" s="69" t="s">
        <v>22</v>
      </c>
      <c r="D16" s="77"/>
    </row>
    <row r="17" spans="1:4" hidden="1" x14ac:dyDescent="0.3">
      <c r="A17" s="76"/>
      <c r="B17" s="69" t="s">
        <v>32</v>
      </c>
      <c r="C17" s="69" t="s">
        <v>22</v>
      </c>
      <c r="D17" s="77"/>
    </row>
    <row r="18" spans="1:4" hidden="1" x14ac:dyDescent="0.3">
      <c r="A18" s="76"/>
      <c r="B18" s="69" t="s">
        <v>33</v>
      </c>
      <c r="C18" s="69" t="s">
        <v>22</v>
      </c>
      <c r="D18" s="77"/>
    </row>
    <row r="19" spans="1:4" hidden="1" x14ac:dyDescent="0.3">
      <c r="A19" s="76"/>
      <c r="B19" s="69" t="s">
        <v>34</v>
      </c>
      <c r="C19" s="69" t="s">
        <v>22</v>
      </c>
      <c r="D19" s="77"/>
    </row>
    <row r="20" spans="1:4" hidden="1" x14ac:dyDescent="0.3">
      <c r="A20" s="76"/>
      <c r="B20" s="69" t="s">
        <v>35</v>
      </c>
      <c r="C20" s="69" t="s">
        <v>22</v>
      </c>
      <c r="D20" s="77"/>
    </row>
    <row r="21" spans="1:4" hidden="1" x14ac:dyDescent="0.3">
      <c r="A21" s="76"/>
      <c r="B21" s="69" t="s">
        <v>36</v>
      </c>
      <c r="C21" s="69" t="s">
        <v>22</v>
      </c>
      <c r="D21" s="77"/>
    </row>
    <row r="22" spans="1:4" hidden="1" x14ac:dyDescent="0.3">
      <c r="A22" s="76"/>
      <c r="B22" s="69" t="s">
        <v>37</v>
      </c>
      <c r="C22" s="69" t="s">
        <v>22</v>
      </c>
      <c r="D22" s="77"/>
    </row>
    <row r="23" spans="1:4" hidden="1" x14ac:dyDescent="0.3">
      <c r="A23" s="76"/>
      <c r="B23" s="69" t="s">
        <v>51</v>
      </c>
      <c r="C23" s="69" t="s">
        <v>22</v>
      </c>
      <c r="D23" s="77"/>
    </row>
    <row r="24" spans="1:4" x14ac:dyDescent="0.3">
      <c r="B24" s="69"/>
      <c r="C24" s="78"/>
      <c r="D24" s="79"/>
    </row>
    <row r="25" spans="1:4" x14ac:dyDescent="0.3">
      <c r="B25" s="69"/>
      <c r="C25" s="78" t="s">
        <v>52</v>
      </c>
      <c r="D25" s="80">
        <v>42787.466113194445</v>
      </c>
    </row>
    <row r="26" spans="1:4" x14ac:dyDescent="0.3">
      <c r="B26" s="69"/>
      <c r="C26" s="69"/>
      <c r="D26" s="69" t="s">
        <v>53</v>
      </c>
    </row>
    <row r="27" spans="1:4" ht="34.5" customHeight="1" x14ac:dyDescent="0.3">
      <c r="B27" s="69"/>
      <c r="C27" s="69"/>
      <c r="D27" s="69"/>
    </row>
    <row r="28" spans="1:4" x14ac:dyDescent="0.3">
      <c r="B28" s="69"/>
      <c r="C28" s="69"/>
      <c r="D28" s="69">
        <f>Identitas!C9</f>
        <v>0</v>
      </c>
    </row>
    <row r="29" spans="1:4" x14ac:dyDescent="0.3">
      <c r="B29" s="69"/>
      <c r="C29" s="69"/>
      <c r="D29" s="69"/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Identitas</vt:lpstr>
      <vt:lpstr>Input</vt:lpstr>
      <vt:lpstr>Tunggakan</vt:lpstr>
      <vt:lpstr>DataBase</vt:lpstr>
      <vt:lpstr>Daftar</vt:lpstr>
      <vt:lpstr>Kartu</vt:lpstr>
      <vt:lpstr>Kuitansi</vt:lpstr>
      <vt:lpstr>Kartu!Print_Area</vt:lpstr>
      <vt:lpstr>Kuitansi!Print_Area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Margono S.Pd.</dc:creator>
  <cp:lastModifiedBy>Margono S.Pd.</cp:lastModifiedBy>
  <cp:lastPrinted>2016-12-11T00:10:10Z</cp:lastPrinted>
  <dcterms:created xsi:type="dcterms:W3CDTF">2016-09-18T00:34:01Z</dcterms:created>
  <dcterms:modified xsi:type="dcterms:W3CDTF">2017-02-21T04:20:08Z</dcterms:modified>
</cp:coreProperties>
</file>